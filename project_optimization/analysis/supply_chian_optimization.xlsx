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ethanzhao/Desktop/"/>
    </mc:Choice>
  </mc:AlternateContent>
  <xr:revisionPtr revIDLastSave="0" documentId="13_ncr:1_{F54B0D50-491D-D74C-BA23-A75F053875BC}" xr6:coauthVersionLast="47" xr6:coauthVersionMax="47" xr10:uidLastSave="{00000000-0000-0000-0000-000000000000}"/>
  <bookViews>
    <workbookView xWindow="-20" yWindow="500" windowWidth="28800" windowHeight="15880" xr2:uid="{FBBD8BA6-9B30-D743-B6F1-9F232054F64B}"/>
  </bookViews>
  <sheets>
    <sheet name="Sheet4" sheetId="5" r:id="rId1"/>
  </sheets>
  <definedNames>
    <definedName name="solver_adj" localSheetId="0" hidden="1">Sheet4!$B$20:$E$23,Sheet4!$I$20:$I$23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Sheet4!$B$24:$E$24</definedName>
    <definedName name="solver_lhs2" localSheetId="0" hidden="1">Sheet4!$F$20:$F$23</definedName>
    <definedName name="solver_lhs3" localSheetId="0" hidden="1">Sheet4!$I$20:$I$23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opt" localSheetId="0" hidden="1">Sheet4!$B$32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el3" localSheetId="0" hidden="1">5</definedName>
    <definedName name="solver_rhs1" localSheetId="0" hidden="1">Sheet4!$B$13:$E$13</definedName>
    <definedName name="solver_rhs2" localSheetId="0" hidden="1">Sheet4!$J$20:$J$23</definedName>
    <definedName name="solver_rhs3" localSheetId="0" hidden="1">"binary"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5" l="1"/>
  <c r="B30" i="5"/>
  <c r="E24" i="5"/>
  <c r="D24" i="5"/>
  <c r="C24" i="5"/>
  <c r="B24" i="5"/>
  <c r="J23" i="5"/>
  <c r="F23" i="5"/>
  <c r="J22" i="5"/>
  <c r="F22" i="5"/>
  <c r="J21" i="5"/>
  <c r="F21" i="5"/>
  <c r="J20" i="5"/>
  <c r="F20" i="5"/>
  <c r="K3" i="5"/>
  <c r="B29" i="5" l="1"/>
  <c r="B32" i="5" s="1"/>
  <c r="K2" i="5" s="1"/>
</calcChain>
</file>

<file path=xl/sharedStrings.xml><?xml version="1.0" encoding="utf-8"?>
<sst xmlns="http://schemas.openxmlformats.org/spreadsheetml/2006/main" count="56" uniqueCount="36">
  <si>
    <t>Demand</t>
  </si>
  <si>
    <t>Factory</t>
  </si>
  <si>
    <t>N America</t>
  </si>
  <si>
    <t>Europe</t>
  </si>
  <si>
    <t>S America</t>
  </si>
  <si>
    <t>RoW</t>
  </si>
  <si>
    <t>Vancouver</t>
  </si>
  <si>
    <t>Produced</t>
  </si>
  <si>
    <t>Available</t>
  </si>
  <si>
    <t>Costs</t>
  </si>
  <si>
    <t>Total Cost</t>
  </si>
  <si>
    <t>Strategic Network Optimization Model</t>
  </si>
  <si>
    <t>Expand? (0/1)</t>
  </si>
  <si>
    <t>INPUT</t>
  </si>
  <si>
    <t xml:space="preserve"> EXPANSION  DECISIONS</t>
  </si>
  <si>
    <t>OPTIMIZATION  VARIABLES</t>
  </si>
  <si>
    <t xml:space="preserve"> Cost</t>
  </si>
  <si>
    <t xml:space="preserve">EXPANSION </t>
  </si>
  <si>
    <t xml:space="preserve">Production </t>
  </si>
  <si>
    <t xml:space="preserve">Transportation </t>
  </si>
  <si>
    <t xml:space="preserve">Expansion </t>
  </si>
  <si>
    <t xml:space="preserve">Total </t>
  </si>
  <si>
    <t>Scoreboard</t>
  </si>
  <si>
    <t>(Unit Costs in USD. Supply/Demand in '000 Units)</t>
  </si>
  <si>
    <t>Factories Expanded</t>
  </si>
  <si>
    <t xml:space="preserve">Service Level </t>
  </si>
  <si>
    <t>OBJECTIVE FUNCTION</t>
  </si>
  <si>
    <t>-</t>
  </si>
  <si>
    <t>Sāo Paulo</t>
  </si>
  <si>
    <t>Rotterdam</t>
  </si>
  <si>
    <t>Shanghai</t>
  </si>
  <si>
    <t>Production</t>
  </si>
  <si>
    <t>Added Capacity</t>
  </si>
  <si>
    <t>Current Capacity</t>
  </si>
  <si>
    <t>New Capacity</t>
  </si>
  <si>
    <t>TRANSPORTATION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</si>
</sst>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??_);_(@_)"/>
    <numFmt numFmtId="165" formatCode="0.0"/>
    <numFmt numFmtId="166" formatCode="#,##0.0"/>
  </numFmts>
  <fonts count="10">
    <font>
      <sz val="12"/>
      <color theme="1"/>
      <name val="Aptos Narrow"/>
      <family val="2"/>
      <scheme val="minor"/>
    </font>
    <font>
      <sz val="12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b/>
      <sz val="12"/>
      <color theme="1"/>
      <name val="Aptos Narrow (Body)"/>
    </font>
    <font>
      <b/>
      <sz val="12"/>
      <color rgb="FFE7E6E6"/>
      <name val="Aptos Narrow (Body)"/>
    </font>
    <font>
      <sz val="12"/>
      <color rgb="FF0070C0"/>
      <name val="Aptos Narrow"/>
    </font>
    <font>
      <b/>
      <sz val="12"/>
      <color rgb="FFFFFFFF"/>
      <name val="Aptos Narrow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rgb="FFC5E0B3"/>
        <bgColor rgb="FFC5E0B3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2" fillId="0" borderId="2" xfId="0" applyFont="1" applyBorder="1"/>
    <xf numFmtId="0" fontId="4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9" fontId="2" fillId="2" borderId="0" xfId="0" applyNumberFormat="1" applyFont="1" applyFill="1"/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3" fontId="3" fillId="4" borderId="3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3" fontId="2" fillId="5" borderId="8" xfId="0" applyNumberFormat="1" applyFont="1" applyFill="1" applyBorder="1"/>
    <xf numFmtId="164" fontId="7" fillId="5" borderId="8" xfId="0" applyNumberFormat="1" applyFont="1" applyFill="1" applyBorder="1"/>
    <xf numFmtId="166" fontId="7" fillId="5" borderId="8" xfId="0" applyNumberFormat="1" applyFont="1" applyFill="1" applyBorder="1"/>
    <xf numFmtId="164" fontId="7" fillId="5" borderId="6" xfId="0" applyNumberFormat="1" applyFont="1" applyFill="1" applyBorder="1"/>
    <xf numFmtId="166" fontId="7" fillId="5" borderId="6" xfId="0" applyNumberFormat="1" applyFont="1" applyFill="1" applyBorder="1"/>
    <xf numFmtId="164" fontId="7" fillId="5" borderId="9" xfId="0" applyNumberFormat="1" applyFont="1" applyFill="1" applyBorder="1" applyAlignment="1">
      <alignment vertical="center"/>
    </xf>
    <xf numFmtId="164" fontId="7" fillId="5" borderId="10" xfId="0" applyNumberFormat="1" applyFont="1" applyFill="1" applyBorder="1" applyAlignment="1">
      <alignment vertical="center"/>
    </xf>
    <xf numFmtId="0" fontId="8" fillId="0" borderId="0" xfId="0" applyFont="1" applyAlignment="1">
      <alignment horizontal="center"/>
    </xf>
    <xf numFmtId="3" fontId="2" fillId="0" borderId="0" xfId="0" applyNumberFormat="1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165" fontId="2" fillId="6" borderId="8" xfId="0" applyNumberFormat="1" applyFont="1" applyFill="1" applyBorder="1"/>
    <xf numFmtId="165" fontId="2" fillId="0" borderId="8" xfId="0" applyNumberFormat="1" applyFont="1" applyBorder="1"/>
    <xf numFmtId="0" fontId="2" fillId="6" borderId="1" xfId="0" applyFont="1" applyFill="1" applyBorder="1" applyAlignment="1">
      <alignment horizontal="center"/>
    </xf>
    <xf numFmtId="165" fontId="2" fillId="0" borderId="1" xfId="0" applyNumberFormat="1" applyFont="1" applyBorder="1"/>
    <xf numFmtId="164" fontId="7" fillId="0" borderId="0" xfId="0" applyNumberFormat="1" applyFont="1"/>
    <xf numFmtId="3" fontId="2" fillId="5" borderId="7" xfId="0" applyNumberFormat="1" applyFont="1" applyFill="1" applyBorder="1"/>
    <xf numFmtId="165" fontId="2" fillId="6" borderId="7" xfId="0" applyNumberFormat="1" applyFont="1" applyFill="1" applyBorder="1"/>
    <xf numFmtId="0" fontId="3" fillId="0" borderId="11" xfId="0" applyFont="1" applyBorder="1" applyAlignment="1">
      <alignment horizontal="center"/>
    </xf>
    <xf numFmtId="165" fontId="2" fillId="0" borderId="11" xfId="0" applyNumberFormat="1" applyFont="1" applyBorder="1"/>
    <xf numFmtId="0" fontId="3" fillId="4" borderId="3" xfId="0" applyFont="1" applyFill="1" applyBorder="1" applyAlignment="1">
      <alignment horizontal="center"/>
    </xf>
    <xf numFmtId="0" fontId="2" fillId="0" borderId="8" xfId="0" applyFont="1" applyBorder="1"/>
    <xf numFmtId="164" fontId="2" fillId="0" borderId="8" xfId="0" applyNumberFormat="1" applyFont="1" applyBorder="1"/>
    <xf numFmtId="0" fontId="9" fillId="0" borderId="0" xfId="0" applyFont="1"/>
    <xf numFmtId="0" fontId="3" fillId="0" borderId="8" xfId="0" applyFont="1" applyBorder="1"/>
    <xf numFmtId="164" fontId="3" fillId="7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78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0015-5CBF-3A48-89B8-7F1086EF61A7}">
  <dimension ref="A1:Z1001"/>
  <sheetViews>
    <sheetView showGridLines="0" tabSelected="1" workbookViewId="0">
      <selection activeCell="Q34" sqref="Q34"/>
    </sheetView>
  </sheetViews>
  <sheetFormatPr baseColWidth="10" defaultColWidth="11.1640625" defaultRowHeight="16"/>
  <cols>
    <col min="1" max="1" width="13" style="8" customWidth="1"/>
    <col min="2" max="6" width="12.83203125" style="8" customWidth="1"/>
    <col min="7" max="7" width="10.83203125" style="8" customWidth="1"/>
    <col min="8" max="8" width="14" style="8" bestFit="1" customWidth="1"/>
    <col min="9" max="9" width="12.83203125" style="8" customWidth="1"/>
    <col min="10" max="10" width="15.1640625" style="8" bestFit="1" customWidth="1"/>
    <col min="11" max="12" width="12.83203125" style="8" customWidth="1"/>
    <col min="13" max="14" width="10.5" style="8" customWidth="1"/>
    <col min="15" max="15" width="13.6640625" style="8" bestFit="1" customWidth="1"/>
    <col min="16" max="26" width="10.5" style="8" customWidth="1"/>
    <col min="27" max="16384" width="11.1640625" style="8"/>
  </cols>
  <sheetData>
    <row r="1" spans="1:26" ht="22">
      <c r="A1" s="6" t="s">
        <v>11</v>
      </c>
      <c r="B1" s="6"/>
      <c r="C1" s="6"/>
      <c r="D1" s="6"/>
      <c r="E1" s="6"/>
      <c r="F1" s="6"/>
      <c r="G1" s="6"/>
      <c r="H1" s="6"/>
      <c r="I1" s="7" t="s">
        <v>22</v>
      </c>
      <c r="J1" s="7"/>
      <c r="K1" s="7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10" t="s">
        <v>23</v>
      </c>
      <c r="B2" s="10"/>
      <c r="C2" s="10"/>
      <c r="D2" s="10"/>
      <c r="E2" s="10"/>
      <c r="F2" s="10"/>
      <c r="G2" s="10"/>
      <c r="H2" s="10"/>
      <c r="I2" s="11" t="s">
        <v>10</v>
      </c>
      <c r="J2" s="11"/>
      <c r="K2" s="12">
        <f>B32</f>
        <v>96061140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9"/>
      <c r="B3" s="9"/>
      <c r="C3" s="9"/>
      <c r="D3" s="9"/>
      <c r="E3" s="9"/>
      <c r="F3" s="9"/>
      <c r="G3" s="9"/>
      <c r="H3" s="9"/>
      <c r="I3" s="11" t="s">
        <v>24</v>
      </c>
      <c r="J3" s="11"/>
      <c r="K3" s="11">
        <f>SUM(solver_lhs3)</f>
        <v>3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9"/>
      <c r="B4" s="9"/>
      <c r="C4" s="9"/>
      <c r="D4" s="9"/>
      <c r="E4" s="9"/>
      <c r="F4" s="9"/>
      <c r="G4" s="9"/>
      <c r="H4" s="9"/>
      <c r="I4" s="11" t="s">
        <v>25</v>
      </c>
      <c r="J4" s="11"/>
      <c r="K4" s="13">
        <v>1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7" thickBot="1">
      <c r="A5" s="14" t="s">
        <v>13</v>
      </c>
      <c r="B5" s="14"/>
      <c r="C5" s="14"/>
      <c r="D5" s="14"/>
      <c r="E5" s="14"/>
      <c r="F5" s="14"/>
      <c r="G5" s="14"/>
      <c r="H5" s="14"/>
      <c r="I5" s="14"/>
      <c r="J5" s="14"/>
      <c r="K5" s="14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M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16" t="s">
        <v>35</v>
      </c>
      <c r="B7" s="1"/>
      <c r="C7" s="1"/>
      <c r="D7" s="1"/>
      <c r="E7" s="2"/>
      <c r="F7" s="9"/>
      <c r="G7" s="17" t="s">
        <v>1</v>
      </c>
      <c r="H7" s="18" t="s">
        <v>17</v>
      </c>
      <c r="I7" s="2"/>
      <c r="J7" s="17" t="s">
        <v>33</v>
      </c>
      <c r="K7" s="19" t="s">
        <v>31</v>
      </c>
      <c r="M7" s="9"/>
      <c r="S7" s="9"/>
      <c r="T7" s="9"/>
      <c r="U7" s="9"/>
      <c r="V7" s="9"/>
      <c r="W7" s="9"/>
      <c r="X7" s="9"/>
      <c r="Y7" s="9"/>
      <c r="Z7" s="9"/>
    </row>
    <row r="8" spans="1:26">
      <c r="A8" s="20" t="s">
        <v>1</v>
      </c>
      <c r="B8" s="20" t="s">
        <v>2</v>
      </c>
      <c r="C8" s="20" t="s">
        <v>3</v>
      </c>
      <c r="D8" s="20" t="s">
        <v>4</v>
      </c>
      <c r="E8" s="20" t="s">
        <v>5</v>
      </c>
      <c r="F8" s="9"/>
      <c r="G8" s="3"/>
      <c r="H8" s="21" t="s">
        <v>32</v>
      </c>
      <c r="I8" s="21" t="s">
        <v>16</v>
      </c>
      <c r="J8" s="3"/>
      <c r="K8" s="22" t="s">
        <v>9</v>
      </c>
      <c r="S8" s="9"/>
      <c r="T8" s="9"/>
      <c r="U8" s="9"/>
      <c r="V8" s="9"/>
      <c r="W8" s="9"/>
      <c r="X8" s="9"/>
      <c r="Y8" s="9"/>
      <c r="Z8" s="9"/>
    </row>
    <row r="9" spans="1:26">
      <c r="A9" s="23" t="s">
        <v>28</v>
      </c>
      <c r="B9" s="24">
        <v>110000</v>
      </c>
      <c r="C9" s="24">
        <v>111000</v>
      </c>
      <c r="D9" s="24">
        <v>75000</v>
      </c>
      <c r="E9" s="24">
        <v>141000</v>
      </c>
      <c r="F9" s="9"/>
      <c r="G9" s="23" t="s">
        <v>28</v>
      </c>
      <c r="H9" s="25">
        <v>6</v>
      </c>
      <c r="I9" s="26">
        <v>500000</v>
      </c>
      <c r="J9" s="27">
        <v>22</v>
      </c>
      <c r="K9" s="28">
        <v>911300</v>
      </c>
      <c r="M9" s="9"/>
      <c r="S9" s="9"/>
      <c r="T9" s="9"/>
      <c r="U9" s="9"/>
      <c r="V9" s="9"/>
      <c r="W9" s="9"/>
      <c r="X9" s="9"/>
      <c r="Y9" s="9"/>
      <c r="Z9" s="9"/>
    </row>
    <row r="10" spans="1:26">
      <c r="A10" s="23" t="s">
        <v>29</v>
      </c>
      <c r="B10" s="24">
        <v>105000</v>
      </c>
      <c r="C10" s="24">
        <v>20000</v>
      </c>
      <c r="D10" s="24">
        <v>129000</v>
      </c>
      <c r="E10" s="24">
        <v>133000</v>
      </c>
      <c r="F10" s="9"/>
      <c r="G10" s="23" t="s">
        <v>29</v>
      </c>
      <c r="H10" s="25">
        <v>8</v>
      </c>
      <c r="I10" s="24">
        <v>900000</v>
      </c>
      <c r="J10" s="25">
        <v>47</v>
      </c>
      <c r="K10" s="29">
        <v>722600</v>
      </c>
      <c r="M10" s="9"/>
      <c r="S10" s="9"/>
      <c r="T10" s="9"/>
      <c r="U10" s="9"/>
      <c r="V10" s="9"/>
      <c r="W10" s="9"/>
      <c r="X10" s="9"/>
      <c r="Y10" s="9"/>
      <c r="Z10" s="9"/>
    </row>
    <row r="11" spans="1:26">
      <c r="A11" s="23" t="s">
        <v>6</v>
      </c>
      <c r="B11" s="24">
        <v>50000</v>
      </c>
      <c r="C11" s="24">
        <v>101000</v>
      </c>
      <c r="D11" s="24">
        <v>115000</v>
      </c>
      <c r="E11" s="24">
        <v>126000</v>
      </c>
      <c r="F11" s="9"/>
      <c r="G11" s="23" t="s">
        <v>6</v>
      </c>
      <c r="H11" s="25">
        <v>10</v>
      </c>
      <c r="I11" s="24">
        <v>1000000</v>
      </c>
      <c r="J11" s="25">
        <v>18.5</v>
      </c>
      <c r="K11" s="29">
        <v>994200</v>
      </c>
      <c r="M11" s="9"/>
      <c r="S11" s="9"/>
      <c r="T11" s="9"/>
      <c r="U11" s="9"/>
      <c r="V11" s="9"/>
      <c r="W11" s="9"/>
      <c r="X11" s="9"/>
      <c r="Y11" s="9"/>
      <c r="Z11" s="9"/>
    </row>
    <row r="12" spans="1:26">
      <c r="A12" s="23" t="s">
        <v>30</v>
      </c>
      <c r="B12" s="24">
        <v>140000</v>
      </c>
      <c r="C12" s="24">
        <v>143000</v>
      </c>
      <c r="D12" s="24">
        <v>133000</v>
      </c>
      <c r="E12" s="24">
        <v>20000</v>
      </c>
      <c r="F12" s="9"/>
      <c r="G12" s="23" t="s">
        <v>30</v>
      </c>
      <c r="H12" s="25">
        <v>1</v>
      </c>
      <c r="I12" s="24">
        <v>300000</v>
      </c>
      <c r="J12" s="25">
        <v>5</v>
      </c>
      <c r="K12" s="29">
        <v>1469800</v>
      </c>
      <c r="M12" s="9"/>
      <c r="S12" s="9"/>
      <c r="T12" s="9"/>
      <c r="U12" s="9"/>
      <c r="V12" s="9"/>
      <c r="W12" s="9"/>
      <c r="X12" s="9"/>
      <c r="Y12" s="9"/>
      <c r="Z12" s="9"/>
    </row>
    <row r="13" spans="1:26">
      <c r="A13" s="21" t="s">
        <v>0</v>
      </c>
      <c r="B13" s="25">
        <v>26.1</v>
      </c>
      <c r="C13" s="25">
        <v>55.2</v>
      </c>
      <c r="D13" s="25">
        <v>19.899999999999999</v>
      </c>
      <c r="E13" s="25">
        <v>5.5</v>
      </c>
      <c r="F13" s="9"/>
      <c r="M13" s="9"/>
      <c r="S13" s="9"/>
      <c r="T13" s="9"/>
      <c r="U13" s="9"/>
      <c r="V13" s="9"/>
      <c r="W13" s="9"/>
      <c r="X13" s="9"/>
      <c r="Y13" s="9"/>
      <c r="Z13" s="9"/>
    </row>
    <row r="14" spans="1:2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M14" s="9"/>
      <c r="N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30"/>
      <c r="B15" s="31"/>
      <c r="C15" s="31"/>
      <c r="D15" s="31"/>
      <c r="E15" s="31"/>
      <c r="F15" s="9"/>
      <c r="G15" s="9"/>
      <c r="H15" s="9"/>
      <c r="I15" s="9"/>
      <c r="J15" s="9"/>
      <c r="K15" s="9"/>
      <c r="M15" s="9"/>
      <c r="N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7" thickBot="1">
      <c r="A16" s="32" t="s">
        <v>15</v>
      </c>
      <c r="B16" s="4"/>
      <c r="C16" s="4"/>
      <c r="D16" s="4"/>
      <c r="E16" s="4"/>
      <c r="F16" s="4"/>
      <c r="G16" s="4"/>
      <c r="H16" s="4"/>
      <c r="I16" s="4"/>
      <c r="J16" s="4"/>
      <c r="K16" s="4"/>
      <c r="M16" s="9"/>
      <c r="N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9"/>
      <c r="B18" s="9"/>
      <c r="C18" s="9"/>
      <c r="D18" s="9"/>
      <c r="E18" s="9"/>
      <c r="F18" s="9"/>
      <c r="G18" s="9"/>
      <c r="H18" s="34" t="s">
        <v>14</v>
      </c>
      <c r="I18" s="35"/>
      <c r="J18" s="36"/>
      <c r="K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21" t="s">
        <v>1</v>
      </c>
      <c r="B19" s="21" t="s">
        <v>2</v>
      </c>
      <c r="C19" s="21" t="s">
        <v>3</v>
      </c>
      <c r="D19" s="21" t="s">
        <v>4</v>
      </c>
      <c r="E19" s="21" t="s">
        <v>5</v>
      </c>
      <c r="F19" s="21" t="s">
        <v>7</v>
      </c>
      <c r="G19" s="9"/>
      <c r="H19" s="37" t="s">
        <v>1</v>
      </c>
      <c r="I19" s="37" t="s">
        <v>12</v>
      </c>
      <c r="J19" s="37" t="s">
        <v>34</v>
      </c>
      <c r="K19" s="38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23" t="s">
        <v>28</v>
      </c>
      <c r="B20" s="39">
        <v>2.3999999999999986</v>
      </c>
      <c r="C20" s="39">
        <v>0.20000000000000284</v>
      </c>
      <c r="D20" s="39">
        <v>19.899999999999999</v>
      </c>
      <c r="E20" s="39">
        <v>5.5</v>
      </c>
      <c r="F20" s="40">
        <f t="shared" ref="F20:F23" si="0">SUM(B20:E20)</f>
        <v>28</v>
      </c>
      <c r="G20" s="9"/>
      <c r="H20" s="23" t="s">
        <v>28</v>
      </c>
      <c r="I20" s="41">
        <v>1</v>
      </c>
      <c r="J20" s="42">
        <f>J9+(I20*H9)</f>
        <v>28</v>
      </c>
      <c r="K20" s="43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23" t="s">
        <v>29</v>
      </c>
      <c r="B21" s="39">
        <v>0</v>
      </c>
      <c r="C21" s="39">
        <v>55</v>
      </c>
      <c r="D21" s="39">
        <v>0</v>
      </c>
      <c r="E21" s="39">
        <v>0</v>
      </c>
      <c r="F21" s="40">
        <f t="shared" si="0"/>
        <v>55</v>
      </c>
      <c r="G21" s="9"/>
      <c r="H21" s="23" t="s">
        <v>29</v>
      </c>
      <c r="I21" s="41">
        <v>1</v>
      </c>
      <c r="J21" s="42">
        <f>J10+(I21*H10)</f>
        <v>55</v>
      </c>
      <c r="K21" s="4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23" t="s">
        <v>6</v>
      </c>
      <c r="B22" s="39">
        <v>23.700000000000003</v>
      </c>
      <c r="C22" s="39">
        <v>0</v>
      </c>
      <c r="D22" s="39">
        <v>0</v>
      </c>
      <c r="E22" s="39">
        <v>0</v>
      </c>
      <c r="F22" s="40">
        <f t="shared" si="0"/>
        <v>23.700000000000003</v>
      </c>
      <c r="G22" s="9"/>
      <c r="H22" s="23" t="s">
        <v>6</v>
      </c>
      <c r="I22" s="41">
        <v>1</v>
      </c>
      <c r="J22" s="42">
        <f>J11+(I22*H11)</f>
        <v>28.5</v>
      </c>
      <c r="K22" s="43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44" t="s">
        <v>30</v>
      </c>
      <c r="B23" s="45">
        <v>0</v>
      </c>
      <c r="C23" s="45">
        <v>0</v>
      </c>
      <c r="D23" s="45">
        <v>0</v>
      </c>
      <c r="E23" s="45">
        <v>0</v>
      </c>
      <c r="F23" s="40">
        <f t="shared" si="0"/>
        <v>0</v>
      </c>
      <c r="G23" s="9"/>
      <c r="H23" s="23" t="s">
        <v>30</v>
      </c>
      <c r="I23" s="41">
        <v>0</v>
      </c>
      <c r="J23" s="42">
        <f>J12+(I23*H12)</f>
        <v>5</v>
      </c>
      <c r="K23" s="43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46" t="s">
        <v>8</v>
      </c>
      <c r="B24" s="47">
        <f t="shared" ref="B24:E24" si="1">SUM(B20:B23)</f>
        <v>26.1</v>
      </c>
      <c r="C24" s="47">
        <f t="shared" si="1"/>
        <v>55.2</v>
      </c>
      <c r="D24" s="47">
        <f t="shared" si="1"/>
        <v>19.899999999999999</v>
      </c>
      <c r="E24" s="47">
        <f t="shared" si="1"/>
        <v>5.5</v>
      </c>
      <c r="F24" s="9"/>
      <c r="G24" s="9"/>
      <c r="H24" s="9"/>
      <c r="I24" s="9"/>
      <c r="J24" s="9"/>
      <c r="K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thickBot="1">
      <c r="A26" s="14" t="s">
        <v>26</v>
      </c>
      <c r="B26" s="5"/>
      <c r="C26" s="5"/>
      <c r="D26" s="5"/>
      <c r="E26" s="5"/>
      <c r="F26" s="5"/>
      <c r="G26" s="5"/>
      <c r="H26" s="5"/>
      <c r="I26" s="5"/>
      <c r="J26" s="5"/>
      <c r="K26" s="5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48" t="s">
        <v>9</v>
      </c>
      <c r="B28" s="2"/>
      <c r="C28" s="9"/>
      <c r="D28" s="9"/>
      <c r="E28" s="9"/>
      <c r="F28" s="9"/>
      <c r="G28" s="9"/>
      <c r="H28" s="9"/>
      <c r="I28" s="9"/>
      <c r="J28" s="9"/>
      <c r="K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49" t="s">
        <v>18</v>
      </c>
      <c r="B29" s="50">
        <f>SUMPRODUCT(F20:F23,K9:K12)</f>
        <v>88821940</v>
      </c>
      <c r="C29" s="9"/>
      <c r="D29" s="9"/>
      <c r="E29" s="9"/>
      <c r="F29" s="9"/>
      <c r="G29" s="9"/>
      <c r="H29" s="9"/>
      <c r="I29" s="9"/>
      <c r="J29" s="9"/>
      <c r="K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49" t="s">
        <v>19</v>
      </c>
      <c r="B30" s="50">
        <f>SUMPRODUCT(B20:E23,B9:E12)</f>
        <v>4839200</v>
      </c>
      <c r="C30" s="9"/>
      <c r="D30" s="9"/>
      <c r="E30" s="9"/>
      <c r="F30" s="9"/>
      <c r="G30" s="9"/>
      <c r="H30" s="9"/>
      <c r="I30" s="9"/>
      <c r="J30" s="9"/>
      <c r="K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49" t="s">
        <v>20</v>
      </c>
      <c r="B31" s="50">
        <f>SUMPRODUCT(I20:I23,I9:I12)</f>
        <v>2400000</v>
      </c>
      <c r="C31" s="9"/>
      <c r="D31" s="9"/>
      <c r="E31" s="9"/>
      <c r="F31" s="9"/>
      <c r="G31" s="9"/>
      <c r="H31" s="9"/>
      <c r="I31" s="9"/>
      <c r="J31" s="51" t="s">
        <v>27</v>
      </c>
      <c r="K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52" t="s">
        <v>21</v>
      </c>
      <c r="B32" s="53">
        <f>SUM(B29:B31)</f>
        <v>96061140</v>
      </c>
      <c r="C32" s="9"/>
      <c r="D32" s="9"/>
      <c r="E32" s="9"/>
      <c r="F32" s="9"/>
      <c r="G32" s="9"/>
      <c r="H32" s="9"/>
      <c r="I32" s="9"/>
      <c r="J32" s="9"/>
      <c r="K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spans="1:26" ht="15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mergeCells count="12">
    <mergeCell ref="A16:K16"/>
    <mergeCell ref="H18:J18"/>
    <mergeCell ref="A26:K26"/>
    <mergeCell ref="A28:B28"/>
    <mergeCell ref="A1:H1"/>
    <mergeCell ref="I1:K1"/>
    <mergeCell ref="A2:H2"/>
    <mergeCell ref="A5:K5"/>
    <mergeCell ref="A7:E7"/>
    <mergeCell ref="G7:G8"/>
    <mergeCell ref="H7:I7"/>
    <mergeCell ref="J7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ethanzh0@student.ubc.ca</dc:creator>
  <cp:lastModifiedBy>ethanzh0@student.ubc.ca</cp:lastModifiedBy>
  <dcterms:created xsi:type="dcterms:W3CDTF">2026-01-13T11:27:56Z</dcterms:created>
  <dcterms:modified xsi:type="dcterms:W3CDTF">2026-01-14T13:11:07Z</dcterms:modified>
</cp:coreProperties>
</file>