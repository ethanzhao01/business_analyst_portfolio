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202300"/>
  <mc:AlternateContent xmlns:mc="http://schemas.openxmlformats.org/markup-compatibility/2006">
    <mc:Choice Requires="x15">
      <x15ac:absPath xmlns:x15ac="http://schemas.microsoft.com/office/spreadsheetml/2010/11/ac" url="/Users/ethanzhao/Desktop/"/>
    </mc:Choice>
  </mc:AlternateContent>
  <xr:revisionPtr revIDLastSave="0" documentId="13_ncr:1_{95B0B0C0-1222-964D-A53E-CDA17FA538F1}" xr6:coauthVersionLast="47" xr6:coauthVersionMax="47" xr10:uidLastSave="{00000000-0000-0000-0000-000000000000}"/>
  <bookViews>
    <workbookView xWindow="-20" yWindow="500" windowWidth="33600" windowHeight="18880" activeTab="2" xr2:uid="{271ABADC-B7A8-C04F-8DA9-DCE6698BDCFB}"/>
  </bookViews>
  <sheets>
    <sheet name="dashboard" sheetId="13" r:id="rId1"/>
    <sheet name="forecast_model_validation" sheetId="27" r:id="rId2"/>
    <sheet name="inventory" sheetId="28" r:id="rId3"/>
    <sheet name="stress_test" sheetId="44" r:id="rId4"/>
    <sheet name="forecast" sheetId="22" r:id="rId5"/>
    <sheet name="data" sheetId="17" r:id="rId6"/>
  </sheets>
  <definedNames>
    <definedName name="_xlnm._FilterDatabase" localSheetId="5" hidden="1">data!$B$1:$B$112</definedName>
    <definedName name="_xlnm._FilterDatabase" localSheetId="4" hidden="1">forecast!$B$1:$B$76</definedName>
    <definedName name="_xlchart.v1.0" hidden="1">inventory!$A$1:$A$25</definedName>
    <definedName name="_xlchart.v1.1" hidden="1">inventory!$E$1:$E$37</definedName>
    <definedName name="_xlchart.v1.2" hidden="1">inventory!$G$2:$G$37</definedName>
    <definedName name="_xlchart.v1.3" hidden="1">inventory!$A$1:$A$25</definedName>
    <definedName name="_xlchart.v1.4" hidden="1">inventory!$E$1:$E$37</definedName>
    <definedName name="_xlchart.v1.5" hidden="1">inventory!$G$2:$G$37</definedName>
    <definedName name="_xlchart.v1.6" hidden="1">inventory!$A$1:$A$25</definedName>
    <definedName name="_xlchart.v1.7" hidden="1">inventory!$E$1:$E$37</definedName>
    <definedName name="_xlchart.v1.8" hidden="1">inventory!$G$2:$G$37</definedName>
    <definedName name="Slicer_Category">#N/A</definedName>
    <definedName name="Slicer_Category2">#N/A</definedName>
  </definedNames>
  <calcPr calcId="191029"/>
  <pivotCaches>
    <pivotCache cacheId="67"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5" i="22" l="1"/>
  <c r="Q76" i="22"/>
  <c r="Q77" i="22"/>
  <c r="Q78" i="22"/>
  <c r="Q79" i="22"/>
  <c r="Q80" i="22"/>
  <c r="Q81" i="22"/>
  <c r="Q82" i="22"/>
  <c r="Q83" i="22"/>
  <c r="Q84" i="22"/>
  <c r="Q85" i="22"/>
  <c r="Q86" i="22"/>
  <c r="Q87" i="22"/>
  <c r="Q88" i="22"/>
  <c r="Q89" i="22"/>
  <c r="Q90" i="22"/>
  <c r="Q91" i="22"/>
  <c r="Q92" i="22"/>
  <c r="Q93" i="22"/>
  <c r="Q94" i="22"/>
  <c r="Q95" i="22"/>
  <c r="Q96" i="22"/>
  <c r="Q97" i="22"/>
  <c r="Q98" i="22"/>
  <c r="Q99" i="22"/>
  <c r="Q100" i="22"/>
  <c r="Q101" i="22"/>
  <c r="Q102" i="22"/>
  <c r="Q103" i="22"/>
  <c r="Q104" i="22"/>
  <c r="Q105" i="22"/>
  <c r="Q106" i="22"/>
  <c r="Q107" i="22"/>
  <c r="Q108" i="22"/>
  <c r="Q109" i="22"/>
  <c r="Q74" i="22"/>
  <c r="M76" i="22"/>
  <c r="L76" i="22" a="1"/>
  <c r="L76" i="22" s="1"/>
  <c r="F98" i="22"/>
  <c r="F86" i="22"/>
  <c r="F74" i="22"/>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N52" i="22"/>
  <c r="N53" i="22"/>
  <c r="N54" i="22"/>
  <c r="N55" i="22"/>
  <c r="N56" i="22"/>
  <c r="N57" i="22"/>
  <c r="N58" i="22"/>
  <c r="N59" i="22"/>
  <c r="N60" i="22"/>
  <c r="N61" i="22"/>
  <c r="N62" i="22"/>
  <c r="N63" i="22"/>
  <c r="N64" i="22"/>
  <c r="N65" i="22"/>
  <c r="N66" i="22"/>
  <c r="N67" i="22"/>
  <c r="N68" i="22"/>
  <c r="N69" i="22"/>
  <c r="N70" i="22"/>
  <c r="N71" i="22"/>
  <c r="N72" i="22"/>
  <c r="N73" i="22"/>
  <c r="N2" i="22"/>
  <c r="K59" i="22"/>
  <c r="G86" i="22" l="1"/>
  <c r="H86" i="22" s="1"/>
  <c r="F87" i="22" s="1"/>
  <c r="G74" i="22"/>
  <c r="H74" i="22" s="1"/>
  <c r="F75" i="22" s="1"/>
  <c r="G98" i="22"/>
  <c r="H98" i="22" s="1"/>
  <c r="F99" i="22" s="1"/>
  <c r="T6" i="22"/>
  <c r="D26" i="28"/>
  <c r="D14" i="28"/>
  <c r="D2" i="28"/>
  <c r="K17" i="22"/>
  <c r="K10" i="22"/>
  <c r="K63" i="22"/>
  <c r="K64" i="22"/>
  <c r="K65" i="22"/>
  <c r="K66" i="22"/>
  <c r="K67" i="22"/>
  <c r="K68" i="22"/>
  <c r="K69" i="22"/>
  <c r="K70" i="22"/>
  <c r="K71" i="22"/>
  <c r="L107" i="22" s="1" a="1"/>
  <c r="L107" i="22" s="1"/>
  <c r="K72" i="22"/>
  <c r="K73" i="22"/>
  <c r="K62" i="22"/>
  <c r="K39" i="22"/>
  <c r="K40" i="22"/>
  <c r="K41" i="22"/>
  <c r="K42" i="22"/>
  <c r="K43" i="22"/>
  <c r="K44" i="22"/>
  <c r="K45" i="22"/>
  <c r="K46" i="22"/>
  <c r="K47" i="22"/>
  <c r="K48" i="22"/>
  <c r="K49" i="22"/>
  <c r="K38" i="22"/>
  <c r="K26" i="22"/>
  <c r="L86" i="22" s="1" a="1"/>
  <c r="L86" i="22" s="1"/>
  <c r="K14" i="22"/>
  <c r="K15" i="22"/>
  <c r="K13" i="22"/>
  <c r="L85" i="22" s="1" a="1"/>
  <c r="L85" i="22" s="1"/>
  <c r="K16" i="22"/>
  <c r="K18" i="22"/>
  <c r="K19" i="22"/>
  <c r="K20" i="22"/>
  <c r="K21" i="22"/>
  <c r="K22" i="22"/>
  <c r="L82" i="22" s="1" a="1"/>
  <c r="L82" i="22" s="1"/>
  <c r="K23" i="22"/>
  <c r="K24" i="22"/>
  <c r="K25" i="22"/>
  <c r="K3" i="22"/>
  <c r="K4" i="22"/>
  <c r="K5" i="22"/>
  <c r="L77" i="22" s="1" a="1"/>
  <c r="L77" i="22" s="1"/>
  <c r="K6" i="22"/>
  <c r="L78" i="22" s="1" a="1"/>
  <c r="L78" i="22" s="1"/>
  <c r="K7" i="22"/>
  <c r="L79" i="22" s="1" a="1"/>
  <c r="L79" i="22" s="1"/>
  <c r="K8" i="22"/>
  <c r="K9" i="22"/>
  <c r="K11" i="22"/>
  <c r="K12" i="22"/>
  <c r="L84" i="22" s="1" a="1"/>
  <c r="L84" i="22" s="1"/>
  <c r="K27" i="22"/>
  <c r="L87" i="22" s="1" a="1"/>
  <c r="L87" i="22" s="1"/>
  <c r="K28" i="22"/>
  <c r="L88" i="22" s="1" a="1"/>
  <c r="L88" i="22" s="1"/>
  <c r="K29" i="22"/>
  <c r="L89" i="22" s="1" a="1"/>
  <c r="L89" i="22" s="1"/>
  <c r="K30" i="22"/>
  <c r="K31" i="22"/>
  <c r="K32" i="22"/>
  <c r="L92" i="22" s="1" a="1"/>
  <c r="L92" i="22" s="1"/>
  <c r="K33" i="22"/>
  <c r="L93" i="22" s="1" a="1"/>
  <c r="L93" i="22" s="1"/>
  <c r="K34" i="22"/>
  <c r="L94" i="22" s="1" a="1"/>
  <c r="L94" i="22" s="1"/>
  <c r="K35" i="22"/>
  <c r="L95" i="22" s="1" a="1"/>
  <c r="L95" i="22" s="1"/>
  <c r="K36" i="22"/>
  <c r="L96" i="22" s="1" a="1"/>
  <c r="L96" i="22" s="1"/>
  <c r="K37" i="22"/>
  <c r="L97" i="22" s="1" a="1"/>
  <c r="L97" i="22" s="1"/>
  <c r="K50" i="22"/>
  <c r="K51" i="22"/>
  <c r="L99" i="22" s="1" a="1"/>
  <c r="L99" i="22" s="1"/>
  <c r="K52" i="22"/>
  <c r="L100" i="22" s="1" a="1"/>
  <c r="L100" i="22" s="1"/>
  <c r="K53" i="22"/>
  <c r="L101" i="22" s="1" a="1"/>
  <c r="L101" i="22" s="1"/>
  <c r="K54" i="22"/>
  <c r="L102" i="22" s="1" a="1"/>
  <c r="L102" i="22" s="1"/>
  <c r="K55" i="22"/>
  <c r="L103" i="22" s="1" a="1"/>
  <c r="L103" i="22" s="1"/>
  <c r="K56" i="22"/>
  <c r="L104" i="22" s="1" a="1"/>
  <c r="L104" i="22" s="1"/>
  <c r="K57" i="22"/>
  <c r="L105" i="22" s="1" a="1"/>
  <c r="L105" i="22" s="1"/>
  <c r="K58" i="22"/>
  <c r="L106" i="22" s="1" a="1"/>
  <c r="L106" i="22" s="1"/>
  <c r="K60" i="22"/>
  <c r="L108" i="22" s="1" a="1"/>
  <c r="L108" i="22" s="1"/>
  <c r="K61" i="22"/>
  <c r="L109" i="22" s="1" a="1"/>
  <c r="L109" i="22" s="1"/>
  <c r="K2" i="22"/>
  <c r="L74" i="22" s="1" a="1"/>
  <c r="L74" i="22" s="1"/>
  <c r="T2" i="22"/>
  <c r="V3" i="22"/>
  <c r="U3" i="22"/>
  <c r="T3" i="22"/>
  <c r="T4" i="22" s="1"/>
  <c r="V2" i="22"/>
  <c r="U2" i="22"/>
  <c r="J101" i="22"/>
  <c r="G99" i="22" l="1"/>
  <c r="H99" i="22" s="1"/>
  <c r="F100" i="22" s="1"/>
  <c r="G75" i="22"/>
  <c r="H75" i="22"/>
  <c r="F76" i="22" s="1"/>
  <c r="G87" i="22"/>
  <c r="H87" i="22" s="1"/>
  <c r="F88" i="22" s="1"/>
  <c r="V4" i="22"/>
  <c r="M108" i="22"/>
  <c r="J84" i="22"/>
  <c r="J103" i="22"/>
  <c r="J93" i="22"/>
  <c r="J86" i="22"/>
  <c r="J98" i="22"/>
  <c r="J82" i="22"/>
  <c r="J90" i="22"/>
  <c r="J78" i="22"/>
  <c r="J81" i="22"/>
  <c r="J107" i="22"/>
  <c r="J83" i="22"/>
  <c r="J94" i="22"/>
  <c r="J80" i="22"/>
  <c r="J106" i="22"/>
  <c r="J77" i="22"/>
  <c r="J87" i="22"/>
  <c r="J89" i="22"/>
  <c r="J99" i="22"/>
  <c r="J102" i="22"/>
  <c r="J96" i="22"/>
  <c r="J74" i="22"/>
  <c r="J108" i="22"/>
  <c r="J105" i="22"/>
  <c r="J95" i="22"/>
  <c r="J97" i="22"/>
  <c r="J109" i="22"/>
  <c r="J100" i="22"/>
  <c r="J104" i="22"/>
  <c r="J91" i="22"/>
  <c r="J88" i="22"/>
  <c r="J92" i="22"/>
  <c r="J85" i="22"/>
  <c r="J76" i="22"/>
  <c r="J79" i="22"/>
  <c r="J75" i="22"/>
  <c r="G88" i="22" l="1"/>
  <c r="H88" i="22"/>
  <c r="F89" i="22" s="1"/>
  <c r="G100" i="22"/>
  <c r="H100" i="22" s="1"/>
  <c r="F101" i="22" s="1"/>
  <c r="G76" i="22"/>
  <c r="H76" i="22" s="1"/>
  <c r="F77" i="22" s="1"/>
  <c r="M78" i="22"/>
  <c r="G6" i="28" s="1"/>
  <c r="H6" i="28" s="1"/>
  <c r="L75" i="22" a="1"/>
  <c r="L75" i="22" s="1"/>
  <c r="L83" i="22" a="1"/>
  <c r="L83" i="22" s="1"/>
  <c r="M83" i="22" s="1"/>
  <c r="L90" i="22" a="1"/>
  <c r="L90" i="22" s="1"/>
  <c r="M90" i="22" s="1"/>
  <c r="L81" i="22" a="1"/>
  <c r="L81" i="22" s="1"/>
  <c r="M81" i="22" s="1"/>
  <c r="L98" i="22" a="1"/>
  <c r="L98" i="22" s="1"/>
  <c r="M98" i="22" s="1"/>
  <c r="U4" i="22"/>
  <c r="M93" i="22" s="1"/>
  <c r="L91" i="22" a="1"/>
  <c r="L91" i="22" s="1"/>
  <c r="M91" i="22" s="1"/>
  <c r="L80" i="22" a="1"/>
  <c r="L80" i="22" s="1"/>
  <c r="M80" i="22" s="1"/>
  <c r="M77" i="22"/>
  <c r="M84" i="22"/>
  <c r="M74" i="22"/>
  <c r="M75" i="22"/>
  <c r="M101" i="22"/>
  <c r="M85" i="22"/>
  <c r="O78" i="22"/>
  <c r="P78" i="22"/>
  <c r="G21" i="28"/>
  <c r="H21" i="28" s="1"/>
  <c r="O93" i="22"/>
  <c r="P93" i="22"/>
  <c r="G36" i="28"/>
  <c r="H36" i="28" s="1"/>
  <c r="O108" i="22"/>
  <c r="P108" i="22"/>
  <c r="M79" i="22"/>
  <c r="M82" i="22"/>
  <c r="M107" i="22"/>
  <c r="M99" i="22"/>
  <c r="M100" i="22"/>
  <c r="M86" i="22"/>
  <c r="M106" i="22"/>
  <c r="M97" i="22"/>
  <c r="M89" i="22"/>
  <c r="M105" i="22"/>
  <c r="M95" i="22"/>
  <c r="M87" i="22"/>
  <c r="M103" i="22"/>
  <c r="M104" i="22"/>
  <c r="M94" i="22"/>
  <c r="M102" i="22"/>
  <c r="M109" i="22"/>
  <c r="G2" i="28"/>
  <c r="H2" i="28" s="1"/>
  <c r="E2" i="28" s="1"/>
  <c r="F2" i="28" s="1"/>
  <c r="D3" i="28" s="1"/>
  <c r="G77" i="22" l="1"/>
  <c r="H77" i="22" s="1"/>
  <c r="F78" i="22" s="1"/>
  <c r="G101" i="22"/>
  <c r="H101" i="22" s="1"/>
  <c r="F102" i="22" s="1"/>
  <c r="G89" i="22"/>
  <c r="H89" i="22" s="1"/>
  <c r="F90" i="22" s="1"/>
  <c r="M96" i="22"/>
  <c r="G24" i="28" s="1"/>
  <c r="H24" i="28" s="1"/>
  <c r="M92" i="22"/>
  <c r="P92" i="22" s="1"/>
  <c r="M88" i="22"/>
  <c r="P96" i="22"/>
  <c r="G4" i="28"/>
  <c r="H4" i="28" s="1"/>
  <c r="O76" i="22"/>
  <c r="P76" i="22"/>
  <c r="G13" i="28"/>
  <c r="H13" i="28" s="1"/>
  <c r="O85" i="22"/>
  <c r="P85" i="22"/>
  <c r="G9" i="28"/>
  <c r="H9" i="28" s="1"/>
  <c r="P81" i="22"/>
  <c r="O81" i="22"/>
  <c r="G19" i="28"/>
  <c r="H19" i="28" s="1"/>
  <c r="O91" i="22"/>
  <c r="P91" i="22"/>
  <c r="G20" i="28"/>
  <c r="H20" i="28" s="1"/>
  <c r="O92" i="22"/>
  <c r="G11" i="28"/>
  <c r="H11" i="28" s="1"/>
  <c r="O83" i="22"/>
  <c r="P83" i="22"/>
  <c r="G8" i="28"/>
  <c r="H8" i="28" s="1"/>
  <c r="P80" i="22"/>
  <c r="O80" i="22"/>
  <c r="G25" i="28"/>
  <c r="H25" i="28" s="1"/>
  <c r="P97" i="22"/>
  <c r="O97" i="22"/>
  <c r="G29" i="28"/>
  <c r="H29" i="28" s="1"/>
  <c r="O101" i="22"/>
  <c r="P101" i="22"/>
  <c r="G12" i="28"/>
  <c r="H12" i="28" s="1"/>
  <c r="O84" i="22"/>
  <c r="P84" i="22"/>
  <c r="G23" i="28"/>
  <c r="H23" i="28" s="1"/>
  <c r="P95" i="22"/>
  <c r="O95" i="22"/>
  <c r="G33" i="28"/>
  <c r="H33" i="28" s="1"/>
  <c r="P105" i="22"/>
  <c r="O105" i="22"/>
  <c r="G17" i="28"/>
  <c r="H17" i="28" s="1"/>
  <c r="P89" i="22"/>
  <c r="O89" i="22"/>
  <c r="G10" i="28"/>
  <c r="H10" i="28" s="1"/>
  <c r="P82" i="22"/>
  <c r="O82" i="22"/>
  <c r="G5" i="28"/>
  <c r="H5" i="28" s="1"/>
  <c r="O77" i="22"/>
  <c r="P77" i="22"/>
  <c r="G3" i="28"/>
  <c r="H3" i="28" s="1"/>
  <c r="E3" i="28" s="1"/>
  <c r="F3" i="28" s="1"/>
  <c r="I3" i="28" s="1"/>
  <c r="O75" i="22"/>
  <c r="P75" i="22"/>
  <c r="O74" i="22"/>
  <c r="P74" i="22"/>
  <c r="G22" i="28"/>
  <c r="H22" i="28" s="1"/>
  <c r="O94" i="22"/>
  <c r="P94" i="22"/>
  <c r="G18" i="28"/>
  <c r="H18" i="28" s="1"/>
  <c r="P90" i="22"/>
  <c r="O90" i="22"/>
  <c r="G7" i="28"/>
  <c r="H7" i="28" s="1"/>
  <c r="P79" i="22"/>
  <c r="O79" i="22"/>
  <c r="G27" i="28"/>
  <c r="H27" i="28" s="1"/>
  <c r="O99" i="22"/>
  <c r="P99" i="22"/>
  <c r="G37" i="28"/>
  <c r="H37" i="28" s="1"/>
  <c r="O109" i="22"/>
  <c r="P109" i="22"/>
  <c r="G35" i="28"/>
  <c r="H35" i="28" s="1"/>
  <c r="O107" i="22"/>
  <c r="P107" i="22"/>
  <c r="G30" i="28"/>
  <c r="H30" i="28" s="1"/>
  <c r="O102" i="22"/>
  <c r="P102" i="22"/>
  <c r="G26" i="28"/>
  <c r="H26" i="28" s="1"/>
  <c r="E26" i="28" s="1"/>
  <c r="F26" i="28" s="1"/>
  <c r="D27" i="28" s="1"/>
  <c r="P98" i="22"/>
  <c r="O98" i="22"/>
  <c r="G34" i="28"/>
  <c r="H34" i="28" s="1"/>
  <c r="P106" i="22"/>
  <c r="O106" i="22"/>
  <c r="G32" i="28"/>
  <c r="H32" i="28" s="1"/>
  <c r="P104" i="22"/>
  <c r="O104" i="22"/>
  <c r="G31" i="28"/>
  <c r="H31" i="28" s="1"/>
  <c r="P103" i="22"/>
  <c r="O103" i="22"/>
  <c r="G14" i="28"/>
  <c r="H14" i="28" s="1"/>
  <c r="E14" i="28" s="1"/>
  <c r="F14" i="28" s="1"/>
  <c r="D15" i="28" s="1"/>
  <c r="O86" i="22"/>
  <c r="P86" i="22"/>
  <c r="G15" i="28"/>
  <c r="H15" i="28" s="1"/>
  <c r="P87" i="22"/>
  <c r="O87" i="22"/>
  <c r="G28" i="28"/>
  <c r="H28" i="28" s="1"/>
  <c r="O100" i="22"/>
  <c r="P100" i="22"/>
  <c r="I2" i="28"/>
  <c r="G90" i="22" l="1"/>
  <c r="H90" i="22" s="1"/>
  <c r="F91" i="22" s="1"/>
  <c r="G102" i="22"/>
  <c r="H102" i="22" s="1"/>
  <c r="F103" i="22" s="1"/>
  <c r="G78" i="22"/>
  <c r="H78" i="22" s="1"/>
  <c r="F79" i="22" s="1"/>
  <c r="O96" i="22"/>
  <c r="G16" i="28"/>
  <c r="H16" i="28" s="1"/>
  <c r="P88" i="22"/>
  <c r="O88" i="22"/>
  <c r="E15" i="28"/>
  <c r="F15" i="28" s="1"/>
  <c r="I15" i="28" s="1"/>
  <c r="E27" i="28"/>
  <c r="F27" i="28" s="1"/>
  <c r="D28" i="28" s="1"/>
  <c r="E28" i="28" s="1"/>
  <c r="F28" i="28" s="1"/>
  <c r="I26" i="28"/>
  <c r="I14" i="28"/>
  <c r="D4" i="28"/>
  <c r="E4" i="28" s="1"/>
  <c r="G79" i="22" l="1"/>
  <c r="H79" i="22"/>
  <c r="F80" i="22" s="1"/>
  <c r="G103" i="22"/>
  <c r="H103" i="22" s="1"/>
  <c r="F104" i="22" s="1"/>
  <c r="G91" i="22"/>
  <c r="H91" i="22" s="1"/>
  <c r="F92" i="22" s="1"/>
  <c r="I27" i="28"/>
  <c r="D16" i="28"/>
  <c r="E16" i="28" s="1"/>
  <c r="F16" i="28" s="1"/>
  <c r="D17" i="28" s="1"/>
  <c r="E17" i="28" s="1"/>
  <c r="F17" i="28" s="1"/>
  <c r="F4" i="28"/>
  <c r="D5" i="28" s="1"/>
  <c r="D29" i="28"/>
  <c r="E29" i="28" s="1"/>
  <c r="F29" i="28" s="1"/>
  <c r="I28" i="28"/>
  <c r="I16" i="28" l="1"/>
  <c r="G92" i="22"/>
  <c r="H92" i="22" s="1"/>
  <c r="F93" i="22" s="1"/>
  <c r="G104" i="22"/>
  <c r="H104" i="22"/>
  <c r="F105" i="22" s="1"/>
  <c r="G80" i="22"/>
  <c r="H80" i="22" s="1"/>
  <c r="F81" i="22" s="1"/>
  <c r="E5" i="28"/>
  <c r="F5" i="28" s="1"/>
  <c r="I4" i="28"/>
  <c r="D30" i="28"/>
  <c r="E30" i="28" s="1"/>
  <c r="F30" i="28" s="1"/>
  <c r="I29" i="28"/>
  <c r="D18" i="28"/>
  <c r="E18" i="28" s="1"/>
  <c r="F18" i="28" s="1"/>
  <c r="I17" i="28"/>
  <c r="G81" i="22" l="1"/>
  <c r="H81" i="22" s="1"/>
  <c r="F82" i="22" s="1"/>
  <c r="G93" i="22"/>
  <c r="H93" i="22" s="1"/>
  <c r="F94" i="22" s="1"/>
  <c r="G105" i="22"/>
  <c r="H105" i="22" s="1"/>
  <c r="F106" i="22" s="1"/>
  <c r="D6" i="28"/>
  <c r="I5" i="28"/>
  <c r="D31" i="28"/>
  <c r="E31" i="28" s="1"/>
  <c r="F31" i="28" s="1"/>
  <c r="I30" i="28"/>
  <c r="D19" i="28"/>
  <c r="E19" i="28" s="1"/>
  <c r="F19" i="28" s="1"/>
  <c r="I18" i="28"/>
  <c r="G94" i="22" l="1"/>
  <c r="H94" i="22" s="1"/>
  <c r="F95" i="22" s="1"/>
  <c r="G106" i="22"/>
  <c r="H106" i="22" s="1"/>
  <c r="F107" i="22" s="1"/>
  <c r="G82" i="22"/>
  <c r="H82" i="22" s="1"/>
  <c r="F83" i="22" s="1"/>
  <c r="E6" i="28"/>
  <c r="F6" i="28" s="1"/>
  <c r="D20" i="28"/>
  <c r="I19" i="28"/>
  <c r="D32" i="28"/>
  <c r="I31" i="28"/>
  <c r="G83" i="22" l="1"/>
  <c r="H83" i="22" s="1"/>
  <c r="F84" i="22" s="1"/>
  <c r="G107" i="22"/>
  <c r="H107" i="22" s="1"/>
  <c r="F108" i="22" s="1"/>
  <c r="G95" i="22"/>
  <c r="H95" i="22" s="1"/>
  <c r="F96" i="22" s="1"/>
  <c r="E32" i="28"/>
  <c r="F32" i="28" s="1"/>
  <c r="E20" i="28"/>
  <c r="F20" i="28" s="1"/>
  <c r="I6" i="28"/>
  <c r="D7" i="28"/>
  <c r="E7" i="28" s="1"/>
  <c r="F7" i="28" s="1"/>
  <c r="G96" i="22" l="1"/>
  <c r="H96" i="22"/>
  <c r="F97" i="22" s="1"/>
  <c r="G108" i="22"/>
  <c r="H108" i="22" s="1"/>
  <c r="F109" i="22" s="1"/>
  <c r="G84" i="22"/>
  <c r="H84" i="22"/>
  <c r="F85" i="22" s="1"/>
  <c r="I20" i="28"/>
  <c r="D21" i="28"/>
  <c r="E21" i="28" s="1"/>
  <c r="F21" i="28" s="1"/>
  <c r="D22" i="28" s="1"/>
  <c r="E22" i="28" s="1"/>
  <c r="F22" i="28" s="1"/>
  <c r="D33" i="28"/>
  <c r="E33" i="28" s="1"/>
  <c r="F33" i="28" s="1"/>
  <c r="D34" i="28" s="1"/>
  <c r="E34" i="28" s="1"/>
  <c r="F34" i="28" s="1"/>
  <c r="I32" i="28"/>
  <c r="I7" i="28"/>
  <c r="D8" i="28"/>
  <c r="E8" i="28" s="1"/>
  <c r="F8" i="28" s="1"/>
  <c r="G109" i="22" l="1"/>
  <c r="H109" i="22" s="1"/>
  <c r="G85" i="22"/>
  <c r="H85" i="22" s="1"/>
  <c r="G97" i="22"/>
  <c r="H97" i="22"/>
  <c r="I33" i="28"/>
  <c r="I21" i="28"/>
  <c r="D9" i="28"/>
  <c r="E9" i="28" s="1"/>
  <c r="F9" i="28" s="1"/>
  <c r="I8" i="28"/>
  <c r="D35" i="28"/>
  <c r="E35" i="28" s="1"/>
  <c r="F35" i="28" s="1"/>
  <c r="I34" i="28"/>
  <c r="D23" i="28"/>
  <c r="E23" i="28" s="1"/>
  <c r="F23" i="28" s="1"/>
  <c r="I22" i="28"/>
  <c r="D10" i="28" l="1"/>
  <c r="E10" i="28" s="1"/>
  <c r="F10" i="28" s="1"/>
  <c r="I9" i="28"/>
  <c r="D36" i="28"/>
  <c r="E36" i="28" s="1"/>
  <c r="F36" i="28" s="1"/>
  <c r="I35" i="28"/>
  <c r="D24" i="28"/>
  <c r="I23" i="28"/>
  <c r="D11" i="28" l="1"/>
  <c r="E11" i="28" s="1"/>
  <c r="F11" i="28" s="1"/>
  <c r="I10" i="28"/>
  <c r="D37" i="28"/>
  <c r="E37" i="28" s="1"/>
  <c r="F37" i="28" s="1"/>
  <c r="I37" i="28" s="1"/>
  <c r="I36" i="28"/>
  <c r="E24" i="28"/>
  <c r="F24" i="28" s="1"/>
  <c r="D12" i="28" l="1"/>
  <c r="E12" i="28" s="1"/>
  <c r="F12" i="28" s="1"/>
  <c r="I11" i="28"/>
  <c r="D25" i="28"/>
  <c r="E25" i="28" s="1"/>
  <c r="F25" i="28" s="1"/>
  <c r="I25" i="28" s="1"/>
  <c r="I24" i="28"/>
  <c r="D13" i="28" l="1"/>
  <c r="E13" i="28" s="1"/>
  <c r="F13" i="28" s="1"/>
  <c r="I13" i="28" s="1"/>
  <c r="I12"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437413-234B-2846-A7A0-8309D5D79CA0}" keepAlive="1" name="Query - Untitled" description="Connection to the 'Untitled' query in the workbook." type="5" refreshedVersion="8" background="1" saveData="1">
    <dbPr connection="Provider=Microsoft.Mashup.OleDb.1;Data Source=$Workbook$;Location=Untitled;Extended Properties=&quot;&quot;" command="SELECT * FROM [Untitled]"/>
  </connection>
  <connection id="2" xr16:uid="{BB2D3042-E7B2-C845-B2D9-9C357F4C2BD6}" keepAlive="1" name="Query - Untitled (2)" description="Connection to the 'Untitled (2)' query in the workbook." type="5" refreshedVersion="8" background="1" saveData="1">
    <dbPr connection="Provider=Microsoft.Mashup.OleDb.1;Data Source=$Workbook$;Location=&quot;Untitled (2)&quot;;Extended Properties=&quot;&quot;" command="SELECT * FROM [Untitled (2)]"/>
  </connection>
  <connection id="3" xr16:uid="{90CC1A59-B36C-4046-A76C-EB8920A53056}" keepAlive="1" name="Query - updated_sales" description="Connection to the 'updated_sales' query in the workbook." type="5" refreshedVersion="8" background="1" saveData="1">
    <dbPr connection="Provider=Microsoft.Mashup.OleDb.1;Data Source=$Workbook$;Location=updated_sales;Extended Properties=&quot;&quot;" command="SELECT * FROM [updated_sal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<sst xmlns="http://schemas.openxmlformats.org/spreadsheetml/2006/main" count="420" uniqueCount="87">
  <si>
    <t>Category</t>
  </si>
  <si>
    <t>Electronics</t>
  </si>
  <si>
    <t>Safety Stock</t>
  </si>
  <si>
    <t>Actual</t>
  </si>
  <si>
    <t>Forecast</t>
  </si>
  <si>
    <t>Date</t>
  </si>
  <si>
    <t>Lead Time</t>
  </si>
  <si>
    <t>Start Inv</t>
  </si>
  <si>
    <t>End Inv</t>
  </si>
  <si>
    <t>Stable</t>
  </si>
  <si>
    <t>Spring Promo</t>
  </si>
  <si>
    <t>Flat</t>
  </si>
  <si>
    <t>Steady</t>
  </si>
  <si>
    <t>Peak (School)</t>
  </si>
  <si>
    <t>Holding</t>
  </si>
  <si>
    <t>Black Friday</t>
  </si>
  <si>
    <t>Holiday Peak</t>
  </si>
  <si>
    <t>Steady Flow</t>
  </si>
  <si>
    <t>Minor Drift</t>
  </si>
  <si>
    <t>Promo Tail</t>
  </si>
  <si>
    <t>Cooling</t>
  </si>
  <si>
    <t>Quiet</t>
  </si>
  <si>
    <t>Year-End Refresh</t>
  </si>
  <si>
    <t>Holiday Demand</t>
  </si>
  <si>
    <t>Holiday Gifting</t>
  </si>
  <si>
    <t>Peak Fulfilled</t>
  </si>
  <si>
    <t>Planned Prod</t>
  </si>
  <si>
    <t>Logic/Driver</t>
  </si>
  <si>
    <t>Inv Correction</t>
  </si>
  <si>
    <t>High Demand</t>
  </si>
  <si>
    <t>Post-Holiday</t>
  </si>
  <si>
    <t>Policy-based</t>
  </si>
  <si>
    <t>Buffer Build</t>
  </si>
  <si>
    <t>Surge</t>
  </si>
  <si>
    <t>High Sales</t>
  </si>
  <si>
    <t>Spring Peak</t>
  </si>
  <si>
    <t>Forecast Gap</t>
  </si>
  <si>
    <t>Recovery</t>
  </si>
  <si>
    <t>Large Error</t>
  </si>
  <si>
    <t>Refilling</t>
  </si>
  <si>
    <t>High Peak</t>
  </si>
  <si>
    <t>Back-to-Work</t>
  </si>
  <si>
    <t>Tech Launch</t>
  </si>
  <si>
    <t>Peak Demand</t>
  </si>
  <si>
    <t>Year-End</t>
  </si>
  <si>
    <t>Forecast-match</t>
  </si>
  <si>
    <t>Demand Surge</t>
  </si>
  <si>
    <t>Supply Lag</t>
  </si>
  <si>
    <t>Promo Hangover</t>
  </si>
  <si>
    <t>Forecast Error</t>
  </si>
  <si>
    <t>Chasing Demand</t>
  </si>
  <si>
    <t>Stabilizing</t>
  </si>
  <si>
    <t>Tight Inv</t>
  </si>
  <si>
    <t>Post-Peak</t>
  </si>
  <si>
    <t>Pre-Holiday</t>
  </si>
  <si>
    <t>High Turnover</t>
  </si>
  <si>
    <t>Tax Year Spike</t>
  </si>
  <si>
    <t>Office</t>
  </si>
  <si>
    <t>Basics</t>
  </si>
  <si>
    <t>Forecast_2024</t>
  </si>
  <si>
    <t>Growth Rate</t>
  </si>
  <si>
    <t>Total Sales 2022</t>
  </si>
  <si>
    <t>Total Sales 2023</t>
  </si>
  <si>
    <t>Index by Year</t>
  </si>
  <si>
    <t>Seasonal Index</t>
  </si>
  <si>
    <t>Forecast_index</t>
  </si>
  <si>
    <t>Sum of Forecast_index</t>
  </si>
  <si>
    <t>Production</t>
  </si>
  <si>
    <t>Service Level</t>
  </si>
  <si>
    <t>Target Buffer</t>
  </si>
  <si>
    <t xml:space="preserve">Safety Stock </t>
  </si>
  <si>
    <t xml:space="preserve">Basics </t>
  </si>
  <si>
    <t>Status</t>
  </si>
  <si>
    <t>Volatility</t>
  </si>
  <si>
    <t>Sigma</t>
  </si>
  <si>
    <t>Low Demand</t>
  </si>
  <si>
    <t>95% confidence level</t>
  </si>
  <si>
    <t>Sum of Low Demand</t>
  </si>
  <si>
    <t>Sum of High Demand</t>
  </si>
  <si>
    <t>The Gap</t>
  </si>
  <si>
    <t>Production Plan</t>
  </si>
  <si>
    <t>acutal_22/23</t>
  </si>
  <si>
    <t>forecast_LR</t>
  </si>
  <si>
    <t>forecast_seasonal_index</t>
  </si>
  <si>
    <t>Forecast Model Validation</t>
  </si>
  <si>
    <t>Grand Total</t>
  </si>
  <si>
    <t>Sum of The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</si>
</sst>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rgb="FF1F1F1F"/>
      <name val="Arial"/>
      <family val="2"/>
    </font>
    <font>
      <b/>
      <sz val="12"/>
      <color rgb="FF1F1F1F"/>
      <name val="Arial"/>
      <family val="2"/>
    </font>
    <font>
      <sz val="12"/>
      <color theme="1"/>
      <name val="Aptos Narrow"/>
      <family val="2"/>
      <scheme val="minor"/>
    </font>
    <font>
      <b/>
      <sz val="12"/>
      <color theme="1"/>
      <name val="Aptos Narrow"/>
      <scheme val="minor"/>
    </font>
    <font>
      <b/>
      <sz val="12"/>
      <color theme="1"/>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3" fillId="0" borderId="0" applyFont="0" applyFill="0" applyBorder="0" applyAlignment="0" applyProtection="0"/>
  </cellStyleXfs>
  <cellXfs count="20">
    <xf numFmtId="0" fontId="0" fillId="0" borderId="0" xfId="0"/>
    <xf numFmtId="1" fontId="0" fillId="0" borderId="0" xfId="0" applyNumberFormat="1"/>
    <xf numFmtId="0" fontId="0" fillId="0" borderId="0" xfId="0" pivotButton="1"/>
    <xf numFmtId="0" fontId="2" fillId="0" borderId="0" xfId="0" applyFont="1"/>
    <xf numFmtId="0" fontId="1" fillId="0" borderId="0" xfId="0" applyFont="1"/>
    <xf numFmtId="14" fontId="0" fillId="0" borderId="0" xfId="0" applyNumberFormat="1"/>
    <xf numFmtId="2" fontId="0" fillId="0" borderId="0" xfId="0" applyNumberFormat="1"/>
    <xf numFmtId="17" fontId="0" fillId="0" borderId="0" xfId="0" applyNumberFormat="1" applyAlignment="1">
      <alignment horizontal="left"/>
    </xf>
    <xf numFmtId="9" fontId="0" fillId="0" borderId="0" xfId="1" applyFont="1"/>
    <xf numFmtId="0" fontId="0" fillId="0" borderId="1" xfId="0" applyBorder="1"/>
    <xf numFmtId="1" fontId="0" fillId="0" borderId="1" xfId="1" applyNumberFormat="1" applyFont="1" applyBorder="1"/>
    <xf numFmtId="10" fontId="0" fillId="0" borderId="1" xfId="1" applyNumberFormat="1" applyFont="1" applyBorder="1"/>
    <xf numFmtId="0" fontId="0" fillId="0" borderId="3" xfId="0" applyBorder="1"/>
    <xf numFmtId="1" fontId="0" fillId="0" borderId="2" xfId="1" applyNumberFormat="1" applyFont="1" applyBorder="1"/>
    <xf numFmtId="2" fontId="0" fillId="0" borderId="1" xfId="0" applyNumberFormat="1" applyBorder="1"/>
    <xf numFmtId="0" fontId="4" fillId="0" borderId="0" xfId="0" applyFont="1"/>
    <xf numFmtId="9" fontId="0" fillId="0" borderId="1" xfId="1" applyFont="1" applyBorder="1"/>
    <xf numFmtId="0" fontId="0" fillId="0" borderId="0" xfId="0" applyNumberFormat="1"/>
    <xf numFmtId="14" fontId="0" fillId="0" borderId="0" xfId="0" applyNumberFormat="1" applyAlignment="1">
      <alignment horizontal="left"/>
    </xf>
    <xf numFmtId="0" fontId="5" fillId="0" borderId="0" xfId="0" applyFont="1"/>
  </cellXfs>
  <cellStyles count="2">
    <cellStyle name="Normal" xfId="0" builtinId="0"/>
    <cellStyle name="Percent" xfId="1" builtinId="5"/>
  </cellStyles>
  <dxfs count="36">
    <dxf>
      <font>
        <b/>
        <i val="0"/>
        <strike val="0"/>
        <condense val="0"/>
        <extend val="0"/>
        <outline val="0"/>
        <shadow val="0"/>
        <u val="none"/>
        <vertAlign val="baseline"/>
        <sz val="12"/>
        <color rgb="FF1F1F1F"/>
        <name val="Arial"/>
        <family val="2"/>
        <scheme val="none"/>
      </font>
    </dxf>
    <dxf>
      <numFmt numFmtId="1" formatCode="0"/>
    </dxf>
    <dxf>
      <numFmt numFmtId="1" formatCode="0"/>
    </dxf>
    <dxf>
      <numFmt numFmtId="1" formatCode="0"/>
    </dxf>
    <dxf>
      <font>
        <b val="0"/>
        <i val="0"/>
        <strike val="0"/>
        <condense val="0"/>
        <extend val="0"/>
        <outline val="0"/>
        <shadow val="0"/>
        <u val="none"/>
        <vertAlign val="baseline"/>
        <sz val="12"/>
        <color theme="1"/>
        <name val="Aptos Narrow"/>
        <family val="2"/>
        <scheme val="minor"/>
      </font>
    </dxf>
    <dxf>
      <numFmt numFmtId="1" formatCode="0"/>
    </dxf>
    <dxf>
      <numFmt numFmtId="2" formatCode="0.00"/>
    </dxf>
    <dxf>
      <numFmt numFmtId="2" formatCode="0.00"/>
    </dxf>
    <dxf>
      <numFmt numFmtId="1" formatCode="0"/>
    </dxf>
    <dxf>
      <numFmt numFmtId="1" formatCode="0"/>
    </dxf>
    <dxf>
      <numFmt numFmtId="1" formatCode="0"/>
    </dxf>
    <dxf>
      <numFmt numFmtId="1" formatCode="0"/>
    </dxf>
    <dxf>
      <font>
        <b val="0"/>
        <i val="0"/>
        <strike val="0"/>
        <condense val="0"/>
        <extend val="0"/>
        <outline val="0"/>
        <shadow val="0"/>
        <u val="none"/>
        <vertAlign val="baseline"/>
        <sz val="12"/>
        <color rgb="FF1F1F1F"/>
        <name val="Arial"/>
        <family val="2"/>
        <scheme val="none"/>
      </font>
    </dxf>
    <dxf>
      <numFmt numFmtId="19" formatCode="yyyy/mm/dd"/>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rgb="FF1F1F1F"/>
        <name val="Arial"/>
        <family val="2"/>
        <scheme val="none"/>
      </font>
    </dxf>
    <dxf>
      <font>
        <b val="0"/>
        <i val="0"/>
        <strike val="0"/>
        <condense val="0"/>
        <extend val="0"/>
        <outline val="0"/>
        <shadow val="0"/>
        <u val="none"/>
        <vertAlign val="baseline"/>
        <sz val="12"/>
        <color rgb="FF1F1F1F"/>
        <name val="Arial"/>
        <family val="2"/>
        <scheme val="none"/>
      </font>
    </dxf>
    <dxf>
      <font>
        <b val="0"/>
        <i val="0"/>
        <strike val="0"/>
        <condense val="0"/>
        <extend val="0"/>
        <outline val="0"/>
        <shadow val="0"/>
        <u val="none"/>
        <vertAlign val="baseline"/>
        <sz val="12"/>
        <color rgb="FF1F1F1F"/>
        <name val="Arial"/>
        <family val="2"/>
        <scheme val="none"/>
      </font>
    </dxf>
    <dxf>
      <font>
        <b val="0"/>
        <i val="0"/>
        <strike val="0"/>
        <condense val="0"/>
        <extend val="0"/>
        <outline val="0"/>
        <shadow val="0"/>
        <u val="none"/>
        <vertAlign val="baseline"/>
        <sz val="12"/>
        <color rgb="FF1F1F1F"/>
        <name val="Arial"/>
        <family val="2"/>
        <scheme val="none"/>
      </font>
    </dxf>
    <dxf>
      <font>
        <b val="0"/>
        <i val="0"/>
        <strike val="0"/>
        <condense val="0"/>
        <extend val="0"/>
        <outline val="0"/>
        <shadow val="0"/>
        <u val="none"/>
        <vertAlign val="baseline"/>
        <sz val="12"/>
        <color rgb="FF1F1F1F"/>
        <name val="Arial"/>
        <family val="2"/>
        <scheme val="none"/>
      </font>
    </dxf>
    <dxf>
      <font>
        <b val="0"/>
        <i val="0"/>
        <strike val="0"/>
        <condense val="0"/>
        <extend val="0"/>
        <outline val="0"/>
        <shadow val="0"/>
        <u val="none"/>
        <vertAlign val="baseline"/>
        <sz val="12"/>
        <color rgb="FF1F1F1F"/>
        <name val="Arial"/>
        <family val="2"/>
        <scheme val="none"/>
      </font>
    </dxf>
    <dxf>
      <font>
        <b val="0"/>
        <i val="0"/>
        <strike val="0"/>
        <condense val="0"/>
        <extend val="0"/>
        <outline val="0"/>
        <shadow val="0"/>
        <u val="none"/>
        <vertAlign val="baseline"/>
        <sz val="12"/>
        <color rgb="FF1F1F1F"/>
        <name val="Arial"/>
        <family val="2"/>
        <scheme val="none"/>
      </font>
    </dxf>
    <dxf>
      <font>
        <b val="0"/>
        <i val="0"/>
        <strike val="0"/>
        <condense val="0"/>
        <extend val="0"/>
        <outline val="0"/>
        <shadow val="0"/>
        <u val="none"/>
        <vertAlign val="baseline"/>
        <sz val="12"/>
        <color rgb="FF1F1F1F"/>
        <name val="Arial"/>
        <family val="2"/>
        <scheme val="none"/>
      </font>
    </dxf>
    <dxf>
      <font>
        <b val="0"/>
        <i val="0"/>
        <strike val="0"/>
        <condense val="0"/>
        <extend val="0"/>
        <outline val="0"/>
        <shadow val="0"/>
        <u val="none"/>
        <vertAlign val="baseline"/>
        <sz val="12"/>
        <color rgb="FF1F1F1F"/>
        <name val="Arial"/>
        <family val="2"/>
        <scheme val="none"/>
      </font>
    </dxf>
    <dxf>
      <font>
        <b val="0"/>
        <i val="0"/>
        <strike val="0"/>
        <condense val="0"/>
        <extend val="0"/>
        <outline val="0"/>
        <shadow val="0"/>
        <u val="none"/>
        <vertAlign val="baseline"/>
        <sz val="12"/>
        <color rgb="FF1F1F1F"/>
        <name val="Arial"/>
        <family val="2"/>
        <scheme val="none"/>
      </font>
    </dxf>
    <dxf>
      <numFmt numFmtId="19" formatCode="yyyy/mm/dd"/>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2"/>
        <color rgb="FF1F1F1F"/>
        <name val="Arial"/>
        <family val="2"/>
        <scheme val="none"/>
      </font>
    </dxf>
    <dxf>
      <font>
        <b val="0"/>
        <i val="0"/>
        <strike val="0"/>
        <condense val="0"/>
        <extend val="0"/>
        <outline val="0"/>
        <shadow val="0"/>
        <u val="none"/>
        <vertAlign val="baseline"/>
        <sz val="12"/>
        <color rgb="FF1F1F1F"/>
        <name val="Arial"/>
        <family val="2"/>
        <scheme val="none"/>
      </font>
    </dxf>
    <dxf>
      <numFmt numFmtId="19" formatCode="yyyy/mm/dd"/>
    </dxf>
    <dxf>
      <numFmt numFmtId="22" formatCode="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Inventory Mix (2024 Plan)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B0F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00B0F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Basics</c:v>
          </c:tx>
          <c:spPr>
            <a:solidFill>
              <a:srgbClr val="00B0F0"/>
            </a:solidFill>
            <a:ln w="25400">
              <a:noFill/>
            </a:ln>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1333.1407861434895</c:v>
              </c:pt>
              <c:pt idx="1">
                <c:v>1345.2790069041516</c:v>
              </c:pt>
              <c:pt idx="2">
                <c:v>1484.3830168213362</c:v>
              </c:pt>
              <c:pt idx="3">
                <c:v>1435.5266782596723</c:v>
              </c:pt>
              <c:pt idx="4">
                <c:v>1357.4172276648128</c:v>
              </c:pt>
              <c:pt idx="5">
                <c:v>761.79473493913656</c:v>
              </c:pt>
              <c:pt idx="6">
                <c:v>1420.9001222430743</c:v>
              </c:pt>
              <c:pt idx="7">
                <c:v>1496.5212375819979</c:v>
              </c:pt>
              <c:pt idx="8">
                <c:v>1337.8140011363444</c:v>
              </c:pt>
              <c:pt idx="9">
                <c:v>1433.0383430037359</c:v>
              </c:pt>
              <c:pt idx="10">
                <c:v>1508.6594583426599</c:v>
              </c:pt>
              <c:pt idx="11">
                <c:v>1584.2805736815826</c:v>
              </c:pt>
            </c:numLit>
          </c:val>
          <c:extLst>
            <c:ext xmlns:c16="http://schemas.microsoft.com/office/drawing/2014/chart" uri="{C3380CC4-5D6E-409C-BE32-E72D297353CC}">
              <c16:uniqueId val="{00000000-4ED8-E746-873D-0F1F79F08E57}"/>
            </c:ext>
          </c:extLst>
        </c:ser>
        <c:ser>
          <c:idx val="1"/>
          <c:order val="1"/>
          <c:tx>
            <c:v>Electronics</c:v>
          </c:tx>
          <c:spPr>
            <a:solidFill>
              <a:schemeClr val="accent1"/>
            </a:solidFill>
            <a:ln>
              <a:noFill/>
            </a:ln>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2141.756071950329</c:v>
              </c:pt>
              <c:pt idx="1">
                <c:v>1574.6836194302412</c:v>
              </c:pt>
              <c:pt idx="2">
                <c:v>1807.4780861943027</c:v>
              </c:pt>
              <c:pt idx="3">
                <c:v>2042.6680058436816</c:v>
              </c:pt>
              <c:pt idx="4">
                <c:v>2476.0272096420745</c:v>
              </c:pt>
              <c:pt idx="5">
                <c:v>2535.6957633308989</c:v>
              </c:pt>
              <c:pt idx="6">
                <c:v>2505.8614864864862</c:v>
              </c:pt>
              <c:pt idx="7">
                <c:v>1936.3970051132214</c:v>
              </c:pt>
              <c:pt idx="8">
                <c:v>1936.3970051132214</c:v>
              </c:pt>
              <c:pt idx="9">
                <c:v>2897.4091490138785</c:v>
              </c:pt>
              <c:pt idx="10">
                <c:v>4596.220781592403</c:v>
              </c:pt>
              <c:pt idx="11">
                <c:v>4868.4313367421473</c:v>
              </c:pt>
            </c:numLit>
          </c:val>
          <c:extLst>
            <c:ext xmlns:c16="http://schemas.microsoft.com/office/drawing/2014/chart" uri="{C3380CC4-5D6E-409C-BE32-E72D297353CC}">
              <c16:uniqueId val="{00000002-96B0-F14A-8711-9133228FA0EB}"/>
            </c:ext>
          </c:extLst>
        </c:ser>
        <c:ser>
          <c:idx val="2"/>
          <c:order val="2"/>
          <c:tx>
            <c:v>Office</c:v>
          </c:tx>
          <c:spPr>
            <a:solidFill>
              <a:schemeClr val="accent1">
                <a:lumMod val="20000"/>
                <a:lumOff val="80000"/>
              </a:schemeClr>
            </a:solidFill>
            <a:ln>
              <a:noFill/>
            </a:ln>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807.98469387755119</c:v>
              </c:pt>
              <c:pt idx="1">
                <c:v>881.17346938775518</c:v>
              </c:pt>
              <c:pt idx="2">
                <c:v>913.64795918367372</c:v>
              </c:pt>
              <c:pt idx="3">
                <c:v>1597.0663265306125</c:v>
              </c:pt>
              <c:pt idx="4">
                <c:v>1061.4795918367349</c:v>
              </c:pt>
              <c:pt idx="5">
                <c:v>947.57653061224505</c:v>
              </c:pt>
              <c:pt idx="6">
                <c:v>1095.4081632653063</c:v>
              </c:pt>
              <c:pt idx="7">
                <c:v>1800.637755102041</c:v>
              </c:pt>
              <c:pt idx="8">
                <c:v>935.45918367346951</c:v>
              </c:pt>
              <c:pt idx="9">
                <c:v>1803.0612244897964</c:v>
              </c:pt>
              <c:pt idx="10">
                <c:v>1129.3367346938778</c:v>
              </c:pt>
              <c:pt idx="11">
                <c:v>1209.3112244897961</c:v>
              </c:pt>
            </c:numLit>
          </c:val>
          <c:extLst>
            <c:ext xmlns:c16="http://schemas.microsoft.com/office/drawing/2014/chart" uri="{C3380CC4-5D6E-409C-BE32-E72D297353CC}">
              <c16:uniqueId val="{00000003-96B0-F14A-8711-9133228FA0EB}"/>
            </c:ext>
          </c:extLst>
        </c:ser>
        <c:dLbls>
          <c:showLegendKey val="0"/>
          <c:showVal val="0"/>
          <c:showCatName val="0"/>
          <c:showSerName val="0"/>
          <c:showPercent val="0"/>
          <c:showBubbleSize val="0"/>
        </c:dLbls>
        <c:axId val="255155919"/>
        <c:axId val="1180223"/>
      </c:areaChart>
      <c:catAx>
        <c:axId val="25515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223"/>
        <c:crosses val="autoZero"/>
        <c:auto val="1"/>
        <c:lblAlgn val="ctr"/>
        <c:lblOffset val="100"/>
        <c:noMultiLvlLbl val="0"/>
      </c:catAx>
      <c:valAx>
        <c:axId val="118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1559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[google_data.xlsx]stress_test!PivotTable7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Category Stress Test</a:t>
            </a:r>
          </a:p>
          <a:p>
            <a:pPr>
              <a:defRPr/>
            </a:pPr>
            <a:r>
              <a:rPr lang="en-US" sz="1400" b="0" i="0" u="none" strike="noStrike" kern="1200" spc="0" baseline="0">
                <a:solidFill>
                  <a:sysClr val="windowText" lastClr="000000">
                    <a:lumMod val="65000"/>
                    <a:lumOff val="35000"/>
                  </a:sysClr>
                </a:solidFill>
              </a:rPr>
              <a:t>±95% Confidence Intervals based on Historical  Volatility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alpha val="3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75000"/>
              <a:alpha val="3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lumMod val="75000"/>
              <a:alpha val="3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bg2">
              <a:lumMod val="75000"/>
              <a:alpha val="3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bg2">
              <a:lumMod val="75000"/>
              <a:alpha val="3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stress_test!$B$3</c:f>
              <c:strCache>
                <c:ptCount val="1"/>
                <c:pt idx="0">
                  <c:v>Sum of High Demand</c:v>
                </c:pt>
              </c:strCache>
            </c:strRef>
          </c:tx>
          <c:spPr>
            <a:solidFill>
              <a:schemeClr val="bg2">
                <a:lumMod val="75000"/>
                <a:alpha val="30000"/>
              </a:schemeClr>
            </a:solidFill>
            <a:ln>
              <a:noFill/>
            </a:ln>
            <a:effectLst/>
          </c:spPr>
          <c:cat>
            <c:strRef>
              <c:f>stress_test!$A$4:$A$16</c:f>
              <c:strCache>
                <c:ptCount val="12"/>
                <c:pt idx="0">
                  <c:v>2024-01-01</c:v>
                </c:pt>
                <c:pt idx="1">
                  <c:v>2024-02-01</c:v>
                </c:pt>
                <c:pt idx="2">
                  <c:v>2024-03-01</c:v>
                </c:pt>
                <c:pt idx="3">
                  <c:v>2024-04-01</c:v>
                </c:pt>
                <c:pt idx="4">
                  <c:v>2024-05-01</c:v>
                </c:pt>
                <c:pt idx="5">
                  <c:v>2024-06-01</c:v>
                </c:pt>
                <c:pt idx="6">
                  <c:v>2024-07-01</c:v>
                </c:pt>
                <c:pt idx="7">
                  <c:v>2024-08-01</c:v>
                </c:pt>
                <c:pt idx="8">
                  <c:v>2024-09-01</c:v>
                </c:pt>
                <c:pt idx="9">
                  <c:v>2024-10-01</c:v>
                </c:pt>
                <c:pt idx="10">
                  <c:v>2024-11-01</c:v>
                </c:pt>
                <c:pt idx="11">
                  <c:v>2024-12-01</c:v>
                </c:pt>
              </c:strCache>
            </c:strRef>
          </c:cat>
          <c:val>
            <c:numRef>
              <c:f>stress_test!$B$4:$B$16</c:f>
              <c:numCache>
                <c:formatCode>0</c:formatCode>
                <c:ptCount val="12"/>
                <c:pt idx="0">
                  <c:v>4201.7475640448029</c:v>
                </c:pt>
                <c:pt idx="1">
                  <c:v>4240.0043933632478</c:v>
                </c:pt>
                <c:pt idx="2">
                  <c:v>4678.4276573526258</c:v>
                </c:pt>
                <c:pt idx="3">
                  <c:v>4524.4439193458857</c:v>
                </c:pt>
                <c:pt idx="4">
                  <c:v>4278.2612226816927</c:v>
                </c:pt>
                <c:pt idx="5">
                  <c:v>2400.9986080256017</c:v>
                </c:pt>
                <c:pt idx="6">
                  <c:v>4478.3444400171584</c:v>
                </c:pt>
                <c:pt idx="7">
                  <c:v>4716.6844866710708</c:v>
                </c:pt>
                <c:pt idx="8">
                  <c:v>4216.4764433324044</c:v>
                </c:pt>
                <c:pt idx="9">
                  <c:v>4516.6012693356033</c:v>
                </c:pt>
                <c:pt idx="10">
                  <c:v>4754.9413159895166</c:v>
                </c:pt>
                <c:pt idx="11">
                  <c:v>4993.2813626434272</c:v>
                </c:pt>
              </c:numCache>
            </c:numRef>
          </c:val>
          <c:extLst>
            <c:ext xmlns:c16="http://schemas.microsoft.com/office/drawing/2014/chart" uri="{C3380CC4-5D6E-409C-BE32-E72D297353CC}">
              <c16:uniqueId val="{00000000-8F3B-0F44-B653-68C489B44F36}"/>
            </c:ext>
          </c:extLst>
        </c:ser>
        <c:ser>
          <c:idx val="2"/>
          <c:order val="2"/>
          <c:tx>
            <c:strRef>
              <c:f>stress_test!$D$3</c:f>
              <c:strCache>
                <c:ptCount val="1"/>
                <c:pt idx="0">
                  <c:v>Sum of Low Demand</c:v>
                </c:pt>
              </c:strCache>
            </c:strRef>
          </c:tx>
          <c:spPr>
            <a:noFill/>
            <a:ln w="25400">
              <a:noFill/>
            </a:ln>
            <a:effectLst/>
          </c:spPr>
          <c:cat>
            <c:strRef>
              <c:f>stress_test!$A$4:$A$16</c:f>
              <c:strCache>
                <c:ptCount val="12"/>
                <c:pt idx="0">
                  <c:v>2024-01-01</c:v>
                </c:pt>
                <c:pt idx="1">
                  <c:v>2024-02-01</c:v>
                </c:pt>
                <c:pt idx="2">
                  <c:v>2024-03-01</c:v>
                </c:pt>
                <c:pt idx="3">
                  <c:v>2024-04-01</c:v>
                </c:pt>
                <c:pt idx="4">
                  <c:v>2024-05-01</c:v>
                </c:pt>
                <c:pt idx="5">
                  <c:v>2024-06-01</c:v>
                </c:pt>
                <c:pt idx="6">
                  <c:v>2024-07-01</c:v>
                </c:pt>
                <c:pt idx="7">
                  <c:v>2024-08-01</c:v>
                </c:pt>
                <c:pt idx="8">
                  <c:v>2024-09-01</c:v>
                </c:pt>
                <c:pt idx="9">
                  <c:v>2024-10-01</c:v>
                </c:pt>
                <c:pt idx="10">
                  <c:v>2024-11-01</c:v>
                </c:pt>
                <c:pt idx="11">
                  <c:v>2024-12-01</c:v>
                </c:pt>
              </c:strCache>
            </c:strRef>
          </c:cat>
          <c:val>
            <c:numRef>
              <c:f>stress_test!$D$4:$D$16</c:f>
              <c:numCache>
                <c:formatCode>0</c:formatCode>
                <c:ptCount val="12"/>
                <c:pt idx="0">
                  <c:v>1130.8155805291547</c:v>
                </c:pt>
                <c:pt idx="1">
                  <c:v>1141.1116342533574</c:v>
                </c:pt>
                <c:pt idx="2">
                  <c:v>1259.1044099327173</c:v>
                </c:pt>
                <c:pt idx="3">
                  <c:v>1217.6627936928026</c:v>
                </c:pt>
                <c:pt idx="4">
                  <c:v>1151.4076879775596</c:v>
                </c:pt>
                <c:pt idx="5">
                  <c:v>646.18033173094557</c:v>
                </c:pt>
                <c:pt idx="6">
                  <c:v>1205.2560489551383</c:v>
                </c:pt>
                <c:pt idx="7">
                  <c:v>1269.4004636569198</c:v>
                </c:pt>
                <c:pt idx="8">
                  <c:v>1134.7795612129728</c:v>
                </c:pt>
                <c:pt idx="9">
                  <c:v>1215.5521026793408</c:v>
                </c:pt>
                <c:pt idx="10">
                  <c:v>1279.6965173811222</c:v>
                </c:pt>
                <c:pt idx="11">
                  <c:v>1343.8409320829032</c:v>
                </c:pt>
              </c:numCache>
            </c:numRef>
          </c:val>
          <c:extLst>
            <c:ext xmlns:c16="http://schemas.microsoft.com/office/drawing/2014/chart" uri="{C3380CC4-5D6E-409C-BE32-E72D297353CC}">
              <c16:uniqueId val="{00000001-8F3B-0F44-B653-68C489B44F36}"/>
            </c:ext>
          </c:extLst>
        </c:ser>
        <c:ser>
          <c:idx val="1"/>
          <c:order val="1"/>
          <c:tx>
            <c:strRef>
              <c:f>stress_test!$C$3</c:f>
              <c:strCache>
                <c:ptCount val="1"/>
                <c:pt idx="0">
                  <c:v>Sum of Forecast_index</c:v>
                </c:pt>
              </c:strCache>
            </c:strRef>
          </c:tx>
          <c:spPr>
            <a:solidFill>
              <a:schemeClr val="bg1"/>
            </a:solidFill>
            <a:ln>
              <a:noFill/>
            </a:ln>
            <a:effectLst/>
          </c:spPr>
          <c:cat>
            <c:strRef>
              <c:f>stress_test!$A$4:$A$16</c:f>
              <c:strCache>
                <c:ptCount val="12"/>
                <c:pt idx="0">
                  <c:v>2024-01-01</c:v>
                </c:pt>
                <c:pt idx="1">
                  <c:v>2024-02-01</c:v>
                </c:pt>
                <c:pt idx="2">
                  <c:v>2024-03-01</c:v>
                </c:pt>
                <c:pt idx="3">
                  <c:v>2024-04-01</c:v>
                </c:pt>
                <c:pt idx="4">
                  <c:v>2024-05-01</c:v>
                </c:pt>
                <c:pt idx="5">
                  <c:v>2024-06-01</c:v>
                </c:pt>
                <c:pt idx="6">
                  <c:v>2024-07-01</c:v>
                </c:pt>
                <c:pt idx="7">
                  <c:v>2024-08-01</c:v>
                </c:pt>
                <c:pt idx="8">
                  <c:v>2024-09-01</c:v>
                </c:pt>
                <c:pt idx="9">
                  <c:v>2024-10-01</c:v>
                </c:pt>
                <c:pt idx="10">
                  <c:v>2024-11-01</c:v>
                </c:pt>
                <c:pt idx="11">
                  <c:v>2024-12-01</c:v>
                </c:pt>
              </c:strCache>
            </c:strRef>
          </c:cat>
          <c:val>
            <c:numRef>
              <c:f>stress_test!$C$4:$C$16</c:f>
              <c:numCache>
                <c:formatCode>0</c:formatCode>
                <c:ptCount val="12"/>
                <c:pt idx="0">
                  <c:v>2666.2815722869786</c:v>
                </c:pt>
                <c:pt idx="1">
                  <c:v>2690.5580138083028</c:v>
                </c:pt>
                <c:pt idx="2">
                  <c:v>2968.7660336426716</c:v>
                </c:pt>
                <c:pt idx="3">
                  <c:v>2871.0533565193441</c:v>
                </c:pt>
                <c:pt idx="4">
                  <c:v>2714.8344553296261</c:v>
                </c:pt>
                <c:pt idx="5">
                  <c:v>1523.5894698782736</c:v>
                </c:pt>
                <c:pt idx="6">
                  <c:v>2841.8002444861486</c:v>
                </c:pt>
                <c:pt idx="7">
                  <c:v>2993.0424751639953</c:v>
                </c:pt>
                <c:pt idx="8">
                  <c:v>2675.6280022726887</c:v>
                </c:pt>
                <c:pt idx="9">
                  <c:v>2866.0766860074723</c:v>
                </c:pt>
                <c:pt idx="10">
                  <c:v>3017.3189166853194</c:v>
                </c:pt>
                <c:pt idx="11">
                  <c:v>3168.5611473631652</c:v>
                </c:pt>
              </c:numCache>
            </c:numRef>
          </c:val>
          <c:extLst>
            <c:ext xmlns:c16="http://schemas.microsoft.com/office/drawing/2014/chart" uri="{C3380CC4-5D6E-409C-BE32-E72D297353CC}">
              <c16:uniqueId val="{00000002-8F3B-0F44-B653-68C489B44F36}"/>
            </c:ext>
          </c:extLst>
        </c:ser>
        <c:dLbls>
          <c:showLegendKey val="0"/>
          <c:showVal val="0"/>
          <c:showCatName val="0"/>
          <c:showSerName val="0"/>
          <c:showPercent val="0"/>
          <c:showBubbleSize val="0"/>
        </c:dLbls>
        <c:axId val="1978472256"/>
        <c:axId val="1895103296"/>
      </c:areaChart>
      <c:lineChart>
        <c:grouping val="standard"/>
        <c:varyColors val="0"/>
        <c:ser>
          <c:idx val="3"/>
          <c:order val="3"/>
          <c:tx>
            <c:strRef>
              <c:f>stress_test!$E$3</c:f>
              <c:strCache>
                <c:ptCount val="1"/>
                <c:pt idx="0">
                  <c:v>Sum of The Gap</c:v>
                </c:pt>
              </c:strCache>
            </c:strRef>
          </c:tx>
          <c:spPr>
            <a:ln w="28575" cap="rnd">
              <a:solidFill>
                <a:schemeClr val="accent1"/>
              </a:solidFill>
              <a:round/>
            </a:ln>
            <a:effectLst/>
          </c:spPr>
          <c:marker>
            <c:symbol val="none"/>
          </c:marker>
          <c:cat>
            <c:strRef>
              <c:f>stress_test!$A$4:$A$16</c:f>
              <c:strCache>
                <c:ptCount val="12"/>
                <c:pt idx="0">
                  <c:v>2024-01-01</c:v>
                </c:pt>
                <c:pt idx="1">
                  <c:v>2024-02-01</c:v>
                </c:pt>
                <c:pt idx="2">
                  <c:v>2024-03-01</c:v>
                </c:pt>
                <c:pt idx="3">
                  <c:v>2024-04-01</c:v>
                </c:pt>
                <c:pt idx="4">
                  <c:v>2024-05-01</c:v>
                </c:pt>
                <c:pt idx="5">
                  <c:v>2024-06-01</c:v>
                </c:pt>
                <c:pt idx="6">
                  <c:v>2024-07-01</c:v>
                </c:pt>
                <c:pt idx="7">
                  <c:v>2024-08-01</c:v>
                </c:pt>
                <c:pt idx="8">
                  <c:v>2024-09-01</c:v>
                </c:pt>
                <c:pt idx="9">
                  <c:v>2024-10-01</c:v>
                </c:pt>
                <c:pt idx="10">
                  <c:v>2024-11-01</c:v>
                </c:pt>
                <c:pt idx="11">
                  <c:v>2024-12-01</c:v>
                </c:pt>
              </c:strCache>
            </c:strRef>
          </c:cat>
          <c:val>
            <c:numRef>
              <c:f>stress_test!$E$4:$E$16</c:f>
              <c:numCache>
                <c:formatCode>0</c:formatCode>
                <c:ptCount val="12"/>
                <c:pt idx="0">
                  <c:v>3070.9319835156484</c:v>
                </c:pt>
                <c:pt idx="1">
                  <c:v>3098.8927591098904</c:v>
                </c:pt>
                <c:pt idx="2">
                  <c:v>3419.3232474199085</c:v>
                </c:pt>
                <c:pt idx="3">
                  <c:v>3306.7811256530831</c:v>
                </c:pt>
                <c:pt idx="4">
                  <c:v>3126.8535347041334</c:v>
                </c:pt>
                <c:pt idx="5">
                  <c:v>1754.8182762946562</c:v>
                </c:pt>
                <c:pt idx="6">
                  <c:v>3273.08839106202</c:v>
                </c:pt>
                <c:pt idx="7">
                  <c:v>3447.284023014151</c:v>
                </c:pt>
                <c:pt idx="8">
                  <c:v>3081.6968821194314</c:v>
                </c:pt>
                <c:pt idx="9">
                  <c:v>3301.0491666562625</c:v>
                </c:pt>
                <c:pt idx="10">
                  <c:v>3475.2447986083944</c:v>
                </c:pt>
                <c:pt idx="11">
                  <c:v>3649.440430560524</c:v>
                </c:pt>
              </c:numCache>
            </c:numRef>
          </c:val>
          <c:smooth val="0"/>
          <c:extLst>
            <c:ext xmlns:c16="http://schemas.microsoft.com/office/drawing/2014/chart" uri="{C3380CC4-5D6E-409C-BE32-E72D297353CC}">
              <c16:uniqueId val="{00000003-8F3B-0F44-B653-68C489B44F36}"/>
            </c:ext>
          </c:extLst>
        </c:ser>
        <c:dLbls>
          <c:showLegendKey val="0"/>
          <c:showVal val="0"/>
          <c:showCatName val="0"/>
          <c:showSerName val="0"/>
          <c:showPercent val="0"/>
          <c:showBubbleSize val="0"/>
        </c:dLbls>
        <c:marker val="1"/>
        <c:smooth val="0"/>
        <c:axId val="1978472256"/>
        <c:axId val="1895103296"/>
      </c:lineChart>
      <c:catAx>
        <c:axId val="1978472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103296"/>
        <c:crosses val="autoZero"/>
        <c:auto val="1"/>
        <c:lblAlgn val="ctr"/>
        <c:lblOffset val="100"/>
        <c:noMultiLvlLbl val="0"/>
      </c:catAx>
      <c:valAx>
        <c:axId val="1895103296"/>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47225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[google_data.xlsx]forecast_model_validation!PivotTable1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 Method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0B0F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00B0F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rgbClr val="00B0F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00B0F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84353323971084E-2"/>
          <c:y val="1.2384996461429583E-2"/>
          <c:w val="0.94659241901688251"/>
          <c:h val="0.86979534527960389"/>
        </c:manualLayout>
      </c:layout>
      <c:lineChart>
        <c:grouping val="standard"/>
        <c:varyColors val="0"/>
        <c:ser>
          <c:idx val="0"/>
          <c:order val="0"/>
          <c:tx>
            <c:strRef>
              <c:f>forecast_model_validation!$B$3:$B$5</c:f>
              <c:strCache>
                <c:ptCount val="1"/>
                <c:pt idx="0">
                  <c:v>Basics - forecast_LR</c:v>
                </c:pt>
              </c:strCache>
            </c:strRef>
          </c:tx>
          <c:spPr>
            <a:ln w="28575" cap="rnd">
              <a:solidFill>
                <a:srgbClr val="00B0F0"/>
              </a:solidFill>
              <a:prstDash val="dash"/>
              <a:round/>
            </a:ln>
            <a:effectLst/>
          </c:spPr>
          <c:marker>
            <c:symbol val="none"/>
          </c:marker>
          <c:cat>
            <c:strRef>
              <c:f>forecast_model_validation!$A$6:$A$41</c:f>
              <c:strCache>
                <c:ptCount val="36"/>
                <c:pt idx="0">
                  <c:v>2022-01-01</c:v>
                </c:pt>
                <c:pt idx="1">
                  <c:v>2022-02-01</c:v>
                </c:pt>
                <c:pt idx="2">
                  <c:v>2022-03-01</c:v>
                </c:pt>
                <c:pt idx="3">
                  <c:v>2022-04-01</c:v>
                </c:pt>
                <c:pt idx="4">
                  <c:v>2022-05-01</c:v>
                </c:pt>
                <c:pt idx="5">
                  <c:v>2022-06-01</c:v>
                </c:pt>
                <c:pt idx="6">
                  <c:v>2022-07-01</c:v>
                </c:pt>
                <c:pt idx="7">
                  <c:v>2022-08-01</c:v>
                </c:pt>
                <c:pt idx="8">
                  <c:v>2022-09-01</c:v>
                </c:pt>
                <c:pt idx="9">
                  <c:v>2022-10-01</c:v>
                </c:pt>
                <c:pt idx="10">
                  <c:v>2022-11-01</c:v>
                </c:pt>
                <c:pt idx="11">
                  <c:v>2022-12-01</c:v>
                </c:pt>
                <c:pt idx="12">
                  <c:v>2023-01-01</c:v>
                </c:pt>
                <c:pt idx="13">
                  <c:v>2023-02-01</c:v>
                </c:pt>
                <c:pt idx="14">
                  <c:v>2023-03-01</c:v>
                </c:pt>
                <c:pt idx="15">
                  <c:v>2023-04-01</c:v>
                </c:pt>
                <c:pt idx="16">
                  <c:v>2023-05-01</c:v>
                </c:pt>
                <c:pt idx="17">
                  <c:v>2023-06-01</c:v>
                </c:pt>
                <c:pt idx="18">
                  <c:v>2023-07-01</c:v>
                </c:pt>
                <c:pt idx="19">
                  <c:v>2023-08-01</c:v>
                </c:pt>
                <c:pt idx="20">
                  <c:v>2023-09-01</c:v>
                </c:pt>
                <c:pt idx="21">
                  <c:v>2023-10-01</c:v>
                </c:pt>
                <c:pt idx="22">
                  <c:v>2023-11-01</c:v>
                </c:pt>
                <c:pt idx="23">
                  <c:v>2023-12-01</c:v>
                </c:pt>
                <c:pt idx="24">
                  <c:v>2024-01-01</c:v>
                </c:pt>
                <c:pt idx="25">
                  <c:v>2024-02-01</c:v>
                </c:pt>
                <c:pt idx="26">
                  <c:v>2024-03-01</c:v>
                </c:pt>
                <c:pt idx="27">
                  <c:v>2024-04-01</c:v>
                </c:pt>
                <c:pt idx="28">
                  <c:v>2024-05-01</c:v>
                </c:pt>
                <c:pt idx="29">
                  <c:v>2024-06-01</c:v>
                </c:pt>
                <c:pt idx="30">
                  <c:v>2024-07-01</c:v>
                </c:pt>
                <c:pt idx="31">
                  <c:v>2024-08-01</c:v>
                </c:pt>
                <c:pt idx="32">
                  <c:v>2024-09-01</c:v>
                </c:pt>
                <c:pt idx="33">
                  <c:v>2024-10-01</c:v>
                </c:pt>
                <c:pt idx="34">
                  <c:v>2024-11-01</c:v>
                </c:pt>
                <c:pt idx="35">
                  <c:v>2024-12-01</c:v>
                </c:pt>
              </c:strCache>
            </c:strRef>
          </c:cat>
          <c:val>
            <c:numRef>
              <c:f>forecast_model_validation!$B$6:$B$41</c:f>
              <c:numCache>
                <c:formatCode>General</c:formatCode>
                <c:ptCount val="36"/>
                <c:pt idx="24">
                  <c:v>2938.0355872183568</c:v>
                </c:pt>
                <c:pt idx="25">
                  <c:v>3126.5481390489517</c:v>
                </c:pt>
                <c:pt idx="26">
                  <c:v>3515.2484438323918</c:v>
                </c:pt>
                <c:pt idx="27">
                  <c:v>3554.03989812175</c:v>
                </c:pt>
                <c:pt idx="28">
                  <c:v>3492.7996386042219</c:v>
                </c:pt>
                <c:pt idx="29">
                  <c:v>2652.176873246246</c:v>
                </c:pt>
                <c:pt idx="30">
                  <c:v>3783.7797976905135</c:v>
                </c:pt>
                <c:pt idx="31">
                  <c:v>3993.4306674511563</c:v>
                </c:pt>
                <c:pt idx="32">
                  <c:v>3831.211546017847</c:v>
                </c:pt>
                <c:pt idx="33">
                  <c:v>4070.0418037664381</c:v>
                </c:pt>
                <c:pt idx="34">
                  <c:v>4282.8361019217855</c:v>
                </c:pt>
                <c:pt idx="35">
                  <c:v>4305.3843501588381</c:v>
                </c:pt>
              </c:numCache>
            </c:numRef>
          </c:val>
          <c:smooth val="0"/>
          <c:extLst>
            <c:ext xmlns:c16="http://schemas.microsoft.com/office/drawing/2014/chart" uri="{C3380CC4-5D6E-409C-BE32-E72D297353CC}">
              <c16:uniqueId val="{00000000-9B60-C44E-9C1A-E4C20421B456}"/>
            </c:ext>
          </c:extLst>
        </c:ser>
        <c:ser>
          <c:idx val="1"/>
          <c:order val="1"/>
          <c:tx>
            <c:strRef>
              <c:f>forecast_model_validation!$C$3:$C$5</c:f>
              <c:strCache>
                <c:ptCount val="1"/>
                <c:pt idx="0">
                  <c:v>Basics - forecast_seasonal_index</c:v>
                </c:pt>
              </c:strCache>
            </c:strRef>
          </c:tx>
          <c:spPr>
            <a:ln w="28575" cap="rnd">
              <a:solidFill>
                <a:srgbClr val="00B0F0"/>
              </a:solidFill>
              <a:round/>
            </a:ln>
            <a:effectLst/>
          </c:spPr>
          <c:marker>
            <c:symbol val="none"/>
          </c:marker>
          <c:cat>
            <c:strRef>
              <c:f>forecast_model_validation!$A$6:$A$41</c:f>
              <c:strCache>
                <c:ptCount val="36"/>
                <c:pt idx="0">
                  <c:v>2022-01-01</c:v>
                </c:pt>
                <c:pt idx="1">
                  <c:v>2022-02-01</c:v>
                </c:pt>
                <c:pt idx="2">
                  <c:v>2022-03-01</c:v>
                </c:pt>
                <c:pt idx="3">
                  <c:v>2022-04-01</c:v>
                </c:pt>
                <c:pt idx="4">
                  <c:v>2022-05-01</c:v>
                </c:pt>
                <c:pt idx="5">
                  <c:v>2022-06-01</c:v>
                </c:pt>
                <c:pt idx="6">
                  <c:v>2022-07-01</c:v>
                </c:pt>
                <c:pt idx="7">
                  <c:v>2022-08-01</c:v>
                </c:pt>
                <c:pt idx="8">
                  <c:v>2022-09-01</c:v>
                </c:pt>
                <c:pt idx="9">
                  <c:v>2022-10-01</c:v>
                </c:pt>
                <c:pt idx="10">
                  <c:v>2022-11-01</c:v>
                </c:pt>
                <c:pt idx="11">
                  <c:v>2022-12-01</c:v>
                </c:pt>
                <c:pt idx="12">
                  <c:v>2023-01-01</c:v>
                </c:pt>
                <c:pt idx="13">
                  <c:v>2023-02-01</c:v>
                </c:pt>
                <c:pt idx="14">
                  <c:v>2023-03-01</c:v>
                </c:pt>
                <c:pt idx="15">
                  <c:v>2023-04-01</c:v>
                </c:pt>
                <c:pt idx="16">
                  <c:v>2023-05-01</c:v>
                </c:pt>
                <c:pt idx="17">
                  <c:v>2023-06-01</c:v>
                </c:pt>
                <c:pt idx="18">
                  <c:v>2023-07-01</c:v>
                </c:pt>
                <c:pt idx="19">
                  <c:v>2023-08-01</c:v>
                </c:pt>
                <c:pt idx="20">
                  <c:v>2023-09-01</c:v>
                </c:pt>
                <c:pt idx="21">
                  <c:v>2023-10-01</c:v>
                </c:pt>
                <c:pt idx="22">
                  <c:v>2023-11-01</c:v>
                </c:pt>
                <c:pt idx="23">
                  <c:v>2023-12-01</c:v>
                </c:pt>
                <c:pt idx="24">
                  <c:v>2024-01-01</c:v>
                </c:pt>
                <c:pt idx="25">
                  <c:v>2024-02-01</c:v>
                </c:pt>
                <c:pt idx="26">
                  <c:v>2024-03-01</c:v>
                </c:pt>
                <c:pt idx="27">
                  <c:v>2024-04-01</c:v>
                </c:pt>
                <c:pt idx="28">
                  <c:v>2024-05-01</c:v>
                </c:pt>
                <c:pt idx="29">
                  <c:v>2024-06-01</c:v>
                </c:pt>
                <c:pt idx="30">
                  <c:v>2024-07-01</c:v>
                </c:pt>
                <c:pt idx="31">
                  <c:v>2024-08-01</c:v>
                </c:pt>
                <c:pt idx="32">
                  <c:v>2024-09-01</c:v>
                </c:pt>
                <c:pt idx="33">
                  <c:v>2024-10-01</c:v>
                </c:pt>
                <c:pt idx="34">
                  <c:v>2024-11-01</c:v>
                </c:pt>
                <c:pt idx="35">
                  <c:v>2024-12-01</c:v>
                </c:pt>
              </c:strCache>
            </c:strRef>
          </c:cat>
          <c:val>
            <c:numRef>
              <c:f>forecast_model_validation!$C$6:$C$41</c:f>
              <c:numCache>
                <c:formatCode>General</c:formatCode>
                <c:ptCount val="36"/>
                <c:pt idx="24">
                  <c:v>2666.2815722869786</c:v>
                </c:pt>
                <c:pt idx="25">
                  <c:v>2690.5580138083028</c:v>
                </c:pt>
                <c:pt idx="26">
                  <c:v>2968.7660336426716</c:v>
                </c:pt>
                <c:pt idx="27">
                  <c:v>2871.0533565193441</c:v>
                </c:pt>
                <c:pt idx="28">
                  <c:v>2714.8344553296261</c:v>
                </c:pt>
                <c:pt idx="29">
                  <c:v>1523.5894698782736</c:v>
                </c:pt>
                <c:pt idx="30">
                  <c:v>2841.8002444861486</c:v>
                </c:pt>
                <c:pt idx="31">
                  <c:v>2993.0424751639953</c:v>
                </c:pt>
                <c:pt idx="32">
                  <c:v>2675.6280022726887</c:v>
                </c:pt>
                <c:pt idx="33">
                  <c:v>2866.0766860074723</c:v>
                </c:pt>
                <c:pt idx="34">
                  <c:v>3017.3189166853194</c:v>
                </c:pt>
                <c:pt idx="35">
                  <c:v>3168.5611473631652</c:v>
                </c:pt>
              </c:numCache>
            </c:numRef>
          </c:val>
          <c:smooth val="0"/>
          <c:extLst>
            <c:ext xmlns:c16="http://schemas.microsoft.com/office/drawing/2014/chart" uri="{C3380CC4-5D6E-409C-BE32-E72D297353CC}">
              <c16:uniqueId val="{00000001-9B60-C44E-9C1A-E4C20421B456}"/>
            </c:ext>
          </c:extLst>
        </c:ser>
        <c:ser>
          <c:idx val="2"/>
          <c:order val="2"/>
          <c:tx>
            <c:strRef>
              <c:f>forecast_model_validation!$D$3:$D$5</c:f>
              <c:strCache>
                <c:ptCount val="1"/>
                <c:pt idx="0">
                  <c:v>Basics - acutal_22/23</c:v>
                </c:pt>
              </c:strCache>
            </c:strRef>
          </c:tx>
          <c:spPr>
            <a:ln w="28575" cap="rnd">
              <a:solidFill>
                <a:schemeClr val="accent1"/>
              </a:solidFill>
              <a:round/>
            </a:ln>
            <a:effectLst/>
          </c:spPr>
          <c:marker>
            <c:symbol val="none"/>
          </c:marker>
          <c:cat>
            <c:strRef>
              <c:f>forecast_model_validation!$A$6:$A$41</c:f>
              <c:strCache>
                <c:ptCount val="36"/>
                <c:pt idx="0">
                  <c:v>2022-01-01</c:v>
                </c:pt>
                <c:pt idx="1">
                  <c:v>2022-02-01</c:v>
                </c:pt>
                <c:pt idx="2">
                  <c:v>2022-03-01</c:v>
                </c:pt>
                <c:pt idx="3">
                  <c:v>2022-04-01</c:v>
                </c:pt>
                <c:pt idx="4">
                  <c:v>2022-05-01</c:v>
                </c:pt>
                <c:pt idx="5">
                  <c:v>2022-06-01</c:v>
                </c:pt>
                <c:pt idx="6">
                  <c:v>2022-07-01</c:v>
                </c:pt>
                <c:pt idx="7">
                  <c:v>2022-08-01</c:v>
                </c:pt>
                <c:pt idx="8">
                  <c:v>2022-09-01</c:v>
                </c:pt>
                <c:pt idx="9">
                  <c:v>2022-10-01</c:v>
                </c:pt>
                <c:pt idx="10">
                  <c:v>2022-11-01</c:v>
                </c:pt>
                <c:pt idx="11">
                  <c:v>2022-12-01</c:v>
                </c:pt>
                <c:pt idx="12">
                  <c:v>2023-01-01</c:v>
                </c:pt>
                <c:pt idx="13">
                  <c:v>2023-02-01</c:v>
                </c:pt>
                <c:pt idx="14">
                  <c:v>2023-03-01</c:v>
                </c:pt>
                <c:pt idx="15">
                  <c:v>2023-04-01</c:v>
                </c:pt>
                <c:pt idx="16">
                  <c:v>2023-05-01</c:v>
                </c:pt>
                <c:pt idx="17">
                  <c:v>2023-06-01</c:v>
                </c:pt>
                <c:pt idx="18">
                  <c:v>2023-07-01</c:v>
                </c:pt>
                <c:pt idx="19">
                  <c:v>2023-08-01</c:v>
                </c:pt>
                <c:pt idx="20">
                  <c:v>2023-09-01</c:v>
                </c:pt>
                <c:pt idx="21">
                  <c:v>2023-10-01</c:v>
                </c:pt>
                <c:pt idx="22">
                  <c:v>2023-11-01</c:v>
                </c:pt>
                <c:pt idx="23">
                  <c:v>2023-12-01</c:v>
                </c:pt>
                <c:pt idx="24">
                  <c:v>2024-01-01</c:v>
                </c:pt>
                <c:pt idx="25">
                  <c:v>2024-02-01</c:v>
                </c:pt>
                <c:pt idx="26">
                  <c:v>2024-03-01</c:v>
                </c:pt>
                <c:pt idx="27">
                  <c:v>2024-04-01</c:v>
                </c:pt>
                <c:pt idx="28">
                  <c:v>2024-05-01</c:v>
                </c:pt>
                <c:pt idx="29">
                  <c:v>2024-06-01</c:v>
                </c:pt>
                <c:pt idx="30">
                  <c:v>2024-07-01</c:v>
                </c:pt>
                <c:pt idx="31">
                  <c:v>2024-08-01</c:v>
                </c:pt>
                <c:pt idx="32">
                  <c:v>2024-09-01</c:v>
                </c:pt>
                <c:pt idx="33">
                  <c:v>2024-10-01</c:v>
                </c:pt>
                <c:pt idx="34">
                  <c:v>2024-11-01</c:v>
                </c:pt>
                <c:pt idx="35">
                  <c:v>2024-12-01</c:v>
                </c:pt>
              </c:strCache>
            </c:strRef>
          </c:cat>
          <c:val>
            <c:numRef>
              <c:f>forecast_model_validation!$D$6:$D$41</c:f>
              <c:numCache>
                <c:formatCode>General</c:formatCode>
                <c:ptCount val="36"/>
                <c:pt idx="0">
                  <c:v>2100</c:v>
                </c:pt>
                <c:pt idx="1">
                  <c:v>2050</c:v>
                </c:pt>
                <c:pt idx="2">
                  <c:v>2200</c:v>
                </c:pt>
                <c:pt idx="3">
                  <c:v>2100</c:v>
                </c:pt>
                <c:pt idx="4">
                  <c:v>2000</c:v>
                </c:pt>
                <c:pt idx="5">
                  <c:v>1200</c:v>
                </c:pt>
                <c:pt idx="6">
                  <c:v>2100</c:v>
                </c:pt>
                <c:pt idx="7">
                  <c:v>2150</c:v>
                </c:pt>
                <c:pt idx="8">
                  <c:v>1900</c:v>
                </c:pt>
                <c:pt idx="9">
                  <c:v>2050</c:v>
                </c:pt>
                <c:pt idx="10">
                  <c:v>2100</c:v>
                </c:pt>
                <c:pt idx="11">
                  <c:v>2150</c:v>
                </c:pt>
                <c:pt idx="12">
                  <c:v>2100</c:v>
                </c:pt>
                <c:pt idx="13">
                  <c:v>2200</c:v>
                </c:pt>
                <c:pt idx="14">
                  <c:v>2500</c:v>
                </c:pt>
                <c:pt idx="15">
                  <c:v>2450</c:v>
                </c:pt>
                <c:pt idx="16">
                  <c:v>2300</c:v>
                </c:pt>
                <c:pt idx="17">
                  <c:v>1200</c:v>
                </c:pt>
                <c:pt idx="18">
                  <c:v>2400</c:v>
                </c:pt>
                <c:pt idx="19">
                  <c:v>2600</c:v>
                </c:pt>
                <c:pt idx="20">
                  <c:v>2350</c:v>
                </c:pt>
                <c:pt idx="21">
                  <c:v>2500</c:v>
                </c:pt>
                <c:pt idx="22">
                  <c:v>2700</c:v>
                </c:pt>
                <c:pt idx="23">
                  <c:v>2900</c:v>
                </c:pt>
              </c:numCache>
            </c:numRef>
          </c:val>
          <c:smooth val="0"/>
          <c:extLst>
            <c:ext xmlns:c16="http://schemas.microsoft.com/office/drawing/2014/chart" uri="{C3380CC4-5D6E-409C-BE32-E72D297353CC}">
              <c16:uniqueId val="{00000002-9B60-C44E-9C1A-E4C20421B456}"/>
            </c:ext>
          </c:extLst>
        </c:ser>
        <c:dLbls>
          <c:showLegendKey val="0"/>
          <c:showVal val="0"/>
          <c:showCatName val="0"/>
          <c:showSerName val="0"/>
          <c:showPercent val="0"/>
          <c:showBubbleSize val="0"/>
        </c:dLbls>
        <c:smooth val="0"/>
        <c:axId val="1780435584"/>
        <c:axId val="1780437312"/>
      </c:lineChart>
      <c:catAx>
        <c:axId val="1780435584"/>
        <c:scaling>
          <c:orientation val="minMax"/>
        </c:scaling>
        <c:delete val="0"/>
        <c:axPos val="b"/>
        <c:numFmt formatCode="yy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437312"/>
        <c:crosses val="autoZero"/>
        <c:auto val="1"/>
        <c:lblAlgn val="ctr"/>
        <c:lblOffset val="100"/>
        <c:tickLblSkip val="3"/>
        <c:noMultiLvlLbl val="0"/>
      </c:catAx>
      <c:valAx>
        <c:axId val="178043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43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Production vs 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1"/>
          <c:tx>
            <c:v>production</c:v>
          </c:tx>
          <c:spPr>
            <a:solidFill>
              <a:schemeClr val="accent1"/>
            </a:solidFill>
            <a:ln>
              <a:noFill/>
            </a:ln>
            <a:effectLst/>
          </c:spPr>
          <c:invertIfNegative val="0"/>
          <c:cat>
            <c:strRef>
              <c:f>inventory!$A$1:$A$25</c:f>
              <c:strCache>
                <c:ptCount val="25"/>
                <c:pt idx="0">
                  <c:v>Date</c:v>
                </c:pt>
                <c:pt idx="1">
                  <c:v>2024-01-01</c:v>
                </c:pt>
                <c:pt idx="2">
                  <c:v>2024-02-01</c:v>
                </c:pt>
                <c:pt idx="3">
                  <c:v>2024-03-01</c:v>
                </c:pt>
                <c:pt idx="4">
                  <c:v>2024-04-01</c:v>
                </c:pt>
                <c:pt idx="5">
                  <c:v>2024-05-01</c:v>
                </c:pt>
                <c:pt idx="6">
                  <c:v>2024-06-01</c:v>
                </c:pt>
                <c:pt idx="7">
                  <c:v>2024-07-01</c:v>
                </c:pt>
                <c:pt idx="8">
                  <c:v>2024-08-01</c:v>
                </c:pt>
                <c:pt idx="9">
                  <c:v>2024-09-01</c:v>
                </c:pt>
                <c:pt idx="10">
                  <c:v>2024-10-01</c:v>
                </c:pt>
                <c:pt idx="11">
                  <c:v>2024-11-01</c:v>
                </c:pt>
                <c:pt idx="12">
                  <c:v>2024-12-01</c:v>
                </c:pt>
                <c:pt idx="13">
                  <c:v>2024-01-01</c:v>
                </c:pt>
                <c:pt idx="14">
                  <c:v>2024-02-01</c:v>
                </c:pt>
                <c:pt idx="15">
                  <c:v>2024-03-01</c:v>
                </c:pt>
                <c:pt idx="16">
                  <c:v>2024-04-01</c:v>
                </c:pt>
                <c:pt idx="17">
                  <c:v>2024-05-01</c:v>
                </c:pt>
                <c:pt idx="18">
                  <c:v>2024-06-01</c:v>
                </c:pt>
                <c:pt idx="19">
                  <c:v>2024-07-01</c:v>
                </c:pt>
                <c:pt idx="20">
                  <c:v>2024-08-01</c:v>
                </c:pt>
                <c:pt idx="21">
                  <c:v>2024-09-01</c:v>
                </c:pt>
                <c:pt idx="22">
                  <c:v>2024-10-01</c:v>
                </c:pt>
                <c:pt idx="23">
                  <c:v>2024-11-01</c:v>
                </c:pt>
                <c:pt idx="24">
                  <c:v>2024-12-01</c:v>
                </c:pt>
              </c:strCache>
            </c:strRef>
          </c:cat>
          <c:val>
            <c:numRef>
              <c:f>inventory!$E$1:$E$37</c:f>
              <c:numCache>
                <c:formatCode>0</c:formatCode>
                <c:ptCount val="37"/>
                <c:pt idx="0" formatCode="General">
                  <c:v>0</c:v>
                </c:pt>
                <c:pt idx="1">
                  <c:v>0</c:v>
                </c:pt>
                <c:pt idx="2">
                  <c:v>745.16389700511309</c:v>
                </c:pt>
                <c:pt idx="3">
                  <c:v>1739.0262052593137</c:v>
                </c:pt>
                <c:pt idx="4">
                  <c:v>1937.4132578524468</c:v>
                </c:pt>
                <c:pt idx="5">
                  <c:v>2496.7152118334552</c:v>
                </c:pt>
                <c:pt idx="6">
                  <c:v>2172.7483564645731</c:v>
                </c:pt>
                <c:pt idx="7">
                  <c:v>2058.3836285609927</c:v>
                </c:pt>
                <c:pt idx="8">
                  <c:v>1044.1996895544198</c:v>
                </c:pt>
                <c:pt idx="9">
                  <c:v>1613.6641709276846</c:v>
                </c:pt>
                <c:pt idx="10">
                  <c:v>3375.5197680788892</c:v>
                </c:pt>
                <c:pt idx="11">
                  <c:v>5528.9956172388611</c:v>
                </c:pt>
                <c:pt idx="12">
                  <c:v>4329.2366691015341</c:v>
                </c:pt>
                <c:pt idx="13">
                  <c:v>2549.4223584304682</c:v>
                </c:pt>
                <c:pt idx="14">
                  <c:v>2702.6962345689649</c:v>
                </c:pt>
                <c:pt idx="15">
                  <c:v>3107.8700435598562</c:v>
                </c:pt>
                <c:pt idx="16">
                  <c:v>2822.1970179576801</c:v>
                </c:pt>
                <c:pt idx="17">
                  <c:v>2636.7250047347666</c:v>
                </c:pt>
                <c:pt idx="18">
                  <c:v>927.96697715259734</c:v>
                </c:pt>
                <c:pt idx="19">
                  <c:v>3500.9056317900863</c:v>
                </c:pt>
                <c:pt idx="20">
                  <c:v>3068.6635905029189</c:v>
                </c:pt>
                <c:pt idx="21">
                  <c:v>2516.9207658270352</c:v>
                </c:pt>
                <c:pt idx="22">
                  <c:v>2961.3010278748638</c:v>
                </c:pt>
                <c:pt idx="23">
                  <c:v>3092.9400320242435</c:v>
                </c:pt>
                <c:pt idx="24">
                  <c:v>3244.1822627020879</c:v>
                </c:pt>
                <c:pt idx="25">
                  <c:v>715.96938775510239</c:v>
                </c:pt>
                <c:pt idx="26">
                  <c:v>954.36224489795916</c:v>
                </c:pt>
                <c:pt idx="27">
                  <c:v>946.12244897959226</c:v>
                </c:pt>
                <c:pt idx="28">
                  <c:v>2280.4846938775513</c:v>
                </c:pt>
                <c:pt idx="29">
                  <c:v>525.89285714285734</c:v>
                </c:pt>
                <c:pt idx="30">
                  <c:v>833.67346938775518</c:v>
                </c:pt>
                <c:pt idx="31">
                  <c:v>1243.2397959183675</c:v>
                </c:pt>
                <c:pt idx="32">
                  <c:v>2505.8673469387759</c:v>
                </c:pt>
                <c:pt idx="33">
                  <c:v>70.280612244898066</c:v>
                </c:pt>
                <c:pt idx="34">
                  <c:v>2670.6632653061233</c:v>
                </c:pt>
                <c:pt idx="35">
                  <c:v>455.61224489795927</c:v>
                </c:pt>
                <c:pt idx="36">
                  <c:v>1289.2857142857144</c:v>
                </c:pt>
              </c:numCache>
            </c:numRef>
          </c:val>
          <c:extLst>
            <c:ext xmlns:c16="http://schemas.microsoft.com/office/drawing/2014/chart" uri="{C3380CC4-5D6E-409C-BE32-E72D297353CC}">
              <c16:uniqueId val="{00000000-E82D-504E-A31C-E1A8F39EB65F}"/>
            </c:ext>
          </c:extLst>
        </c:ser>
        <c:dLbls>
          <c:showLegendKey val="0"/>
          <c:showVal val="0"/>
          <c:showCatName val="0"/>
          <c:showSerName val="0"/>
          <c:showPercent val="0"/>
          <c:showBubbleSize val="0"/>
        </c:dLbls>
        <c:gapWidth val="150"/>
        <c:axId val="1965249824"/>
        <c:axId val="1931988848"/>
      </c:barChart>
      <c:lineChart>
        <c:grouping val="standard"/>
        <c:varyColors val="0"/>
        <c:ser>
          <c:idx val="0"/>
          <c:order val="0"/>
          <c:tx>
            <c:v>forecast</c:v>
          </c:tx>
          <c:spPr>
            <a:ln w="28575" cap="rnd">
              <a:solidFill>
                <a:srgbClr val="00B0F0"/>
              </a:solidFill>
              <a:round/>
            </a:ln>
            <a:effectLst/>
          </c:spPr>
          <c:marker>
            <c:symbol val="none"/>
          </c:marker>
          <c:val>
            <c:numRef>
              <c:f>inventory!$G$2:$G$37</c:f>
              <c:numCache>
                <c:formatCode>0</c:formatCode>
                <c:ptCount val="36"/>
                <c:pt idx="0">
                  <c:v>1308.2439280496712</c:v>
                </c:pt>
                <c:pt idx="1">
                  <c:v>1312.2363495252009</c:v>
                </c:pt>
                <c:pt idx="2">
                  <c:v>1506.2317384952521</c:v>
                </c:pt>
                <c:pt idx="3">
                  <c:v>1702.2233382030679</c:v>
                </c:pt>
                <c:pt idx="4">
                  <c:v>2063.3560080350621</c:v>
                </c:pt>
                <c:pt idx="5">
                  <c:v>2113.0798027757487</c:v>
                </c:pt>
                <c:pt idx="6">
                  <c:v>2088.2179054054054</c:v>
                </c:pt>
                <c:pt idx="7">
                  <c:v>1613.6641709276846</c:v>
                </c:pt>
                <c:pt idx="8">
                  <c:v>1613.6641709276846</c:v>
                </c:pt>
                <c:pt idx="9">
                  <c:v>2414.5076241782322</c:v>
                </c:pt>
                <c:pt idx="10">
                  <c:v>3830.1839846603361</c:v>
                </c:pt>
                <c:pt idx="11">
                  <c:v>4057.0261139517897</c:v>
                </c:pt>
                <c:pt idx="12">
                  <c:v>2666.2815722869786</c:v>
                </c:pt>
                <c:pt idx="13">
                  <c:v>2690.5580138083028</c:v>
                </c:pt>
                <c:pt idx="14">
                  <c:v>2968.7660336426716</c:v>
                </c:pt>
                <c:pt idx="15">
                  <c:v>2871.0533565193441</c:v>
                </c:pt>
                <c:pt idx="16">
                  <c:v>2714.8344553296261</c:v>
                </c:pt>
                <c:pt idx="17">
                  <c:v>1523.5894698782736</c:v>
                </c:pt>
                <c:pt idx="18">
                  <c:v>2841.8002444861486</c:v>
                </c:pt>
                <c:pt idx="19">
                  <c:v>2993.0424751639953</c:v>
                </c:pt>
                <c:pt idx="20">
                  <c:v>2675.6280022726887</c:v>
                </c:pt>
                <c:pt idx="21">
                  <c:v>2866.0766860074723</c:v>
                </c:pt>
                <c:pt idx="22">
                  <c:v>3017.3189166853194</c:v>
                </c:pt>
                <c:pt idx="23">
                  <c:v>3168.5611473631652</c:v>
                </c:pt>
                <c:pt idx="24">
                  <c:v>807.98469387755119</c:v>
                </c:pt>
                <c:pt idx="25">
                  <c:v>881.17346938775518</c:v>
                </c:pt>
                <c:pt idx="26">
                  <c:v>913.64795918367372</c:v>
                </c:pt>
                <c:pt idx="27">
                  <c:v>1597.0663265306125</c:v>
                </c:pt>
                <c:pt idx="28">
                  <c:v>1061.4795918367349</c:v>
                </c:pt>
                <c:pt idx="29">
                  <c:v>947.57653061224505</c:v>
                </c:pt>
                <c:pt idx="30">
                  <c:v>1095.4081632653063</c:v>
                </c:pt>
                <c:pt idx="31">
                  <c:v>1800.637755102041</c:v>
                </c:pt>
                <c:pt idx="32">
                  <c:v>935.45918367346951</c:v>
                </c:pt>
                <c:pt idx="33">
                  <c:v>1803.0612244897964</c:v>
                </c:pt>
                <c:pt idx="34">
                  <c:v>1129.3367346938778</c:v>
                </c:pt>
                <c:pt idx="35">
                  <c:v>1209.3112244897961</c:v>
                </c:pt>
              </c:numCache>
            </c:numRef>
          </c:val>
          <c:smooth val="0"/>
          <c:extLst>
            <c:ext xmlns:c16="http://schemas.microsoft.com/office/drawing/2014/chart" uri="{C3380CC4-5D6E-409C-BE32-E72D297353CC}">
              <c16:uniqueId val="{00000001-E82D-504E-A31C-E1A8F39EB65F}"/>
            </c:ext>
          </c:extLst>
        </c:ser>
        <c:dLbls>
          <c:showLegendKey val="0"/>
          <c:showVal val="0"/>
          <c:showCatName val="0"/>
          <c:showSerName val="0"/>
          <c:showPercent val="0"/>
          <c:showBubbleSize val="0"/>
        </c:dLbls>
        <c:marker val="1"/>
        <c:smooth val="0"/>
        <c:axId val="1965249824"/>
        <c:axId val="1931988848"/>
      </c:lineChart>
      <c:catAx>
        <c:axId val="196524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988848"/>
        <c:crosses val="autoZero"/>
        <c:auto val="1"/>
        <c:lblAlgn val="ctr"/>
        <c:lblOffset val="100"/>
        <c:noMultiLvlLbl val="0"/>
      </c:catAx>
      <c:valAx>
        <c:axId val="193198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249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[google_data.xlsx]forecast_model_validation!PivotTable1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 Method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B0F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F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B0F0"/>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84353323971084E-2"/>
          <c:y val="1.2384996461429583E-2"/>
          <c:w val="0.94659241901688251"/>
          <c:h val="0.86979534527960389"/>
        </c:manualLayout>
      </c:layout>
      <c:lineChart>
        <c:grouping val="standard"/>
        <c:varyColors val="0"/>
        <c:ser>
          <c:idx val="0"/>
          <c:order val="0"/>
          <c:tx>
            <c:strRef>
              <c:f>forecast_model_validation!$B$3:$B$5</c:f>
              <c:strCache>
                <c:ptCount val="1"/>
                <c:pt idx="0">
                  <c:v>Basics - forecast_LR</c:v>
                </c:pt>
              </c:strCache>
            </c:strRef>
          </c:tx>
          <c:spPr>
            <a:ln w="28575" cap="rnd">
              <a:solidFill>
                <a:srgbClr val="00B0F0"/>
              </a:solidFill>
              <a:prstDash val="dash"/>
              <a:round/>
            </a:ln>
            <a:effectLst/>
          </c:spPr>
          <c:marker>
            <c:symbol val="none"/>
          </c:marker>
          <c:cat>
            <c:strRef>
              <c:f>forecast_model_validation!$A$6:$A$41</c:f>
              <c:strCache>
                <c:ptCount val="36"/>
                <c:pt idx="0">
                  <c:v>2022-01-01</c:v>
                </c:pt>
                <c:pt idx="1">
                  <c:v>2022-02-01</c:v>
                </c:pt>
                <c:pt idx="2">
                  <c:v>2022-03-01</c:v>
                </c:pt>
                <c:pt idx="3">
                  <c:v>2022-04-01</c:v>
                </c:pt>
                <c:pt idx="4">
                  <c:v>2022-05-01</c:v>
                </c:pt>
                <c:pt idx="5">
                  <c:v>2022-06-01</c:v>
                </c:pt>
                <c:pt idx="6">
                  <c:v>2022-07-01</c:v>
                </c:pt>
                <c:pt idx="7">
                  <c:v>2022-08-01</c:v>
                </c:pt>
                <c:pt idx="8">
                  <c:v>2022-09-01</c:v>
                </c:pt>
                <c:pt idx="9">
                  <c:v>2022-10-01</c:v>
                </c:pt>
                <c:pt idx="10">
                  <c:v>2022-11-01</c:v>
                </c:pt>
                <c:pt idx="11">
                  <c:v>2022-12-01</c:v>
                </c:pt>
                <c:pt idx="12">
                  <c:v>2023-01-01</c:v>
                </c:pt>
                <c:pt idx="13">
                  <c:v>2023-02-01</c:v>
                </c:pt>
                <c:pt idx="14">
                  <c:v>2023-03-01</c:v>
                </c:pt>
                <c:pt idx="15">
                  <c:v>2023-04-01</c:v>
                </c:pt>
                <c:pt idx="16">
                  <c:v>2023-05-01</c:v>
                </c:pt>
                <c:pt idx="17">
                  <c:v>2023-06-01</c:v>
                </c:pt>
                <c:pt idx="18">
                  <c:v>2023-07-01</c:v>
                </c:pt>
                <c:pt idx="19">
                  <c:v>2023-08-01</c:v>
                </c:pt>
                <c:pt idx="20">
                  <c:v>2023-09-01</c:v>
                </c:pt>
                <c:pt idx="21">
                  <c:v>2023-10-01</c:v>
                </c:pt>
                <c:pt idx="22">
                  <c:v>2023-11-01</c:v>
                </c:pt>
                <c:pt idx="23">
                  <c:v>2023-12-01</c:v>
                </c:pt>
                <c:pt idx="24">
                  <c:v>2024-01-01</c:v>
                </c:pt>
                <c:pt idx="25">
                  <c:v>2024-02-01</c:v>
                </c:pt>
                <c:pt idx="26">
                  <c:v>2024-03-01</c:v>
                </c:pt>
                <c:pt idx="27">
                  <c:v>2024-04-01</c:v>
                </c:pt>
                <c:pt idx="28">
                  <c:v>2024-05-01</c:v>
                </c:pt>
                <c:pt idx="29">
                  <c:v>2024-06-01</c:v>
                </c:pt>
                <c:pt idx="30">
                  <c:v>2024-07-01</c:v>
                </c:pt>
                <c:pt idx="31">
                  <c:v>2024-08-01</c:v>
                </c:pt>
                <c:pt idx="32">
                  <c:v>2024-09-01</c:v>
                </c:pt>
                <c:pt idx="33">
                  <c:v>2024-10-01</c:v>
                </c:pt>
                <c:pt idx="34">
                  <c:v>2024-11-01</c:v>
                </c:pt>
                <c:pt idx="35">
                  <c:v>2024-12-01</c:v>
                </c:pt>
              </c:strCache>
            </c:strRef>
          </c:cat>
          <c:val>
            <c:numRef>
              <c:f>forecast_model_validation!$B$6:$B$41</c:f>
              <c:numCache>
                <c:formatCode>General</c:formatCode>
                <c:ptCount val="36"/>
                <c:pt idx="24">
                  <c:v>2938.0355872183568</c:v>
                </c:pt>
                <c:pt idx="25">
                  <c:v>3126.5481390489517</c:v>
                </c:pt>
                <c:pt idx="26">
                  <c:v>3515.2484438323918</c:v>
                </c:pt>
                <c:pt idx="27">
                  <c:v>3554.03989812175</c:v>
                </c:pt>
                <c:pt idx="28">
                  <c:v>3492.7996386042219</c:v>
                </c:pt>
                <c:pt idx="29">
                  <c:v>2652.176873246246</c:v>
                </c:pt>
                <c:pt idx="30">
                  <c:v>3783.7797976905135</c:v>
                </c:pt>
                <c:pt idx="31">
                  <c:v>3993.4306674511563</c:v>
                </c:pt>
                <c:pt idx="32">
                  <c:v>3831.211546017847</c:v>
                </c:pt>
                <c:pt idx="33">
                  <c:v>4070.0418037664381</c:v>
                </c:pt>
                <c:pt idx="34">
                  <c:v>4282.8361019217855</c:v>
                </c:pt>
                <c:pt idx="35">
                  <c:v>4305.3843501588381</c:v>
                </c:pt>
              </c:numCache>
            </c:numRef>
          </c:val>
          <c:smooth val="0"/>
          <c:extLst>
            <c:ext xmlns:c16="http://schemas.microsoft.com/office/drawing/2014/chart" uri="{C3380CC4-5D6E-409C-BE32-E72D297353CC}">
              <c16:uniqueId val="{00000000-6077-074C-B1EF-B03BC922E157}"/>
            </c:ext>
          </c:extLst>
        </c:ser>
        <c:ser>
          <c:idx val="1"/>
          <c:order val="1"/>
          <c:tx>
            <c:strRef>
              <c:f>forecast_model_validation!$C$3:$C$5</c:f>
              <c:strCache>
                <c:ptCount val="1"/>
                <c:pt idx="0">
                  <c:v>Basics - forecast_seasonal_index</c:v>
                </c:pt>
              </c:strCache>
            </c:strRef>
          </c:tx>
          <c:spPr>
            <a:ln w="28575" cap="rnd">
              <a:solidFill>
                <a:srgbClr val="00B0F0"/>
              </a:solidFill>
              <a:round/>
            </a:ln>
            <a:effectLst/>
          </c:spPr>
          <c:marker>
            <c:symbol val="none"/>
          </c:marker>
          <c:cat>
            <c:strRef>
              <c:f>forecast_model_validation!$A$6:$A$41</c:f>
              <c:strCache>
                <c:ptCount val="36"/>
                <c:pt idx="0">
                  <c:v>2022-01-01</c:v>
                </c:pt>
                <c:pt idx="1">
                  <c:v>2022-02-01</c:v>
                </c:pt>
                <c:pt idx="2">
                  <c:v>2022-03-01</c:v>
                </c:pt>
                <c:pt idx="3">
                  <c:v>2022-04-01</c:v>
                </c:pt>
                <c:pt idx="4">
                  <c:v>2022-05-01</c:v>
                </c:pt>
                <c:pt idx="5">
                  <c:v>2022-06-01</c:v>
                </c:pt>
                <c:pt idx="6">
                  <c:v>2022-07-01</c:v>
                </c:pt>
                <c:pt idx="7">
                  <c:v>2022-08-01</c:v>
                </c:pt>
                <c:pt idx="8">
                  <c:v>2022-09-01</c:v>
                </c:pt>
                <c:pt idx="9">
                  <c:v>2022-10-01</c:v>
                </c:pt>
                <c:pt idx="10">
                  <c:v>2022-11-01</c:v>
                </c:pt>
                <c:pt idx="11">
                  <c:v>2022-12-01</c:v>
                </c:pt>
                <c:pt idx="12">
                  <c:v>2023-01-01</c:v>
                </c:pt>
                <c:pt idx="13">
                  <c:v>2023-02-01</c:v>
                </c:pt>
                <c:pt idx="14">
                  <c:v>2023-03-01</c:v>
                </c:pt>
                <c:pt idx="15">
                  <c:v>2023-04-01</c:v>
                </c:pt>
                <c:pt idx="16">
                  <c:v>2023-05-01</c:v>
                </c:pt>
                <c:pt idx="17">
                  <c:v>2023-06-01</c:v>
                </c:pt>
                <c:pt idx="18">
                  <c:v>2023-07-01</c:v>
                </c:pt>
                <c:pt idx="19">
                  <c:v>2023-08-01</c:v>
                </c:pt>
                <c:pt idx="20">
                  <c:v>2023-09-01</c:v>
                </c:pt>
                <c:pt idx="21">
                  <c:v>2023-10-01</c:v>
                </c:pt>
                <c:pt idx="22">
                  <c:v>2023-11-01</c:v>
                </c:pt>
                <c:pt idx="23">
                  <c:v>2023-12-01</c:v>
                </c:pt>
                <c:pt idx="24">
                  <c:v>2024-01-01</c:v>
                </c:pt>
                <c:pt idx="25">
                  <c:v>2024-02-01</c:v>
                </c:pt>
                <c:pt idx="26">
                  <c:v>2024-03-01</c:v>
                </c:pt>
                <c:pt idx="27">
                  <c:v>2024-04-01</c:v>
                </c:pt>
                <c:pt idx="28">
                  <c:v>2024-05-01</c:v>
                </c:pt>
                <c:pt idx="29">
                  <c:v>2024-06-01</c:v>
                </c:pt>
                <c:pt idx="30">
                  <c:v>2024-07-01</c:v>
                </c:pt>
                <c:pt idx="31">
                  <c:v>2024-08-01</c:v>
                </c:pt>
                <c:pt idx="32">
                  <c:v>2024-09-01</c:v>
                </c:pt>
                <c:pt idx="33">
                  <c:v>2024-10-01</c:v>
                </c:pt>
                <c:pt idx="34">
                  <c:v>2024-11-01</c:v>
                </c:pt>
                <c:pt idx="35">
                  <c:v>2024-12-01</c:v>
                </c:pt>
              </c:strCache>
            </c:strRef>
          </c:cat>
          <c:val>
            <c:numRef>
              <c:f>forecast_model_validation!$C$6:$C$41</c:f>
              <c:numCache>
                <c:formatCode>General</c:formatCode>
                <c:ptCount val="36"/>
                <c:pt idx="24">
                  <c:v>2666.2815722869786</c:v>
                </c:pt>
                <c:pt idx="25">
                  <c:v>2690.5580138083028</c:v>
                </c:pt>
                <c:pt idx="26">
                  <c:v>2968.7660336426716</c:v>
                </c:pt>
                <c:pt idx="27">
                  <c:v>2871.0533565193441</c:v>
                </c:pt>
                <c:pt idx="28">
                  <c:v>2714.8344553296261</c:v>
                </c:pt>
                <c:pt idx="29">
                  <c:v>1523.5894698782736</c:v>
                </c:pt>
                <c:pt idx="30">
                  <c:v>2841.8002444861486</c:v>
                </c:pt>
                <c:pt idx="31">
                  <c:v>2993.0424751639953</c:v>
                </c:pt>
                <c:pt idx="32">
                  <c:v>2675.6280022726887</c:v>
                </c:pt>
                <c:pt idx="33">
                  <c:v>2866.0766860074723</c:v>
                </c:pt>
                <c:pt idx="34">
                  <c:v>3017.3189166853194</c:v>
                </c:pt>
                <c:pt idx="35">
                  <c:v>3168.5611473631652</c:v>
                </c:pt>
              </c:numCache>
            </c:numRef>
          </c:val>
          <c:smooth val="0"/>
          <c:extLst>
            <c:ext xmlns:c16="http://schemas.microsoft.com/office/drawing/2014/chart" uri="{C3380CC4-5D6E-409C-BE32-E72D297353CC}">
              <c16:uniqueId val="{00000001-6077-074C-B1EF-B03BC922E157}"/>
            </c:ext>
          </c:extLst>
        </c:ser>
        <c:ser>
          <c:idx val="2"/>
          <c:order val="2"/>
          <c:tx>
            <c:strRef>
              <c:f>forecast_model_validation!$D$3:$D$5</c:f>
              <c:strCache>
                <c:ptCount val="1"/>
                <c:pt idx="0">
                  <c:v>Basics - acutal_22/23</c:v>
                </c:pt>
              </c:strCache>
            </c:strRef>
          </c:tx>
          <c:spPr>
            <a:ln w="28575" cap="rnd">
              <a:solidFill>
                <a:schemeClr val="accent1"/>
              </a:solidFill>
              <a:round/>
            </a:ln>
            <a:effectLst/>
          </c:spPr>
          <c:marker>
            <c:symbol val="none"/>
          </c:marker>
          <c:cat>
            <c:strRef>
              <c:f>forecast_model_validation!$A$6:$A$41</c:f>
              <c:strCache>
                <c:ptCount val="36"/>
                <c:pt idx="0">
                  <c:v>2022-01-01</c:v>
                </c:pt>
                <c:pt idx="1">
                  <c:v>2022-02-01</c:v>
                </c:pt>
                <c:pt idx="2">
                  <c:v>2022-03-01</c:v>
                </c:pt>
                <c:pt idx="3">
                  <c:v>2022-04-01</c:v>
                </c:pt>
                <c:pt idx="4">
                  <c:v>2022-05-01</c:v>
                </c:pt>
                <c:pt idx="5">
                  <c:v>2022-06-01</c:v>
                </c:pt>
                <c:pt idx="6">
                  <c:v>2022-07-01</c:v>
                </c:pt>
                <c:pt idx="7">
                  <c:v>2022-08-01</c:v>
                </c:pt>
                <c:pt idx="8">
                  <c:v>2022-09-01</c:v>
                </c:pt>
                <c:pt idx="9">
                  <c:v>2022-10-01</c:v>
                </c:pt>
                <c:pt idx="10">
                  <c:v>2022-11-01</c:v>
                </c:pt>
                <c:pt idx="11">
                  <c:v>2022-12-01</c:v>
                </c:pt>
                <c:pt idx="12">
                  <c:v>2023-01-01</c:v>
                </c:pt>
                <c:pt idx="13">
                  <c:v>2023-02-01</c:v>
                </c:pt>
                <c:pt idx="14">
                  <c:v>2023-03-01</c:v>
                </c:pt>
                <c:pt idx="15">
                  <c:v>2023-04-01</c:v>
                </c:pt>
                <c:pt idx="16">
                  <c:v>2023-05-01</c:v>
                </c:pt>
                <c:pt idx="17">
                  <c:v>2023-06-01</c:v>
                </c:pt>
                <c:pt idx="18">
                  <c:v>2023-07-01</c:v>
                </c:pt>
                <c:pt idx="19">
                  <c:v>2023-08-01</c:v>
                </c:pt>
                <c:pt idx="20">
                  <c:v>2023-09-01</c:v>
                </c:pt>
                <c:pt idx="21">
                  <c:v>2023-10-01</c:v>
                </c:pt>
                <c:pt idx="22">
                  <c:v>2023-11-01</c:v>
                </c:pt>
                <c:pt idx="23">
                  <c:v>2023-12-01</c:v>
                </c:pt>
                <c:pt idx="24">
                  <c:v>2024-01-01</c:v>
                </c:pt>
                <c:pt idx="25">
                  <c:v>2024-02-01</c:v>
                </c:pt>
                <c:pt idx="26">
                  <c:v>2024-03-01</c:v>
                </c:pt>
                <c:pt idx="27">
                  <c:v>2024-04-01</c:v>
                </c:pt>
                <c:pt idx="28">
                  <c:v>2024-05-01</c:v>
                </c:pt>
                <c:pt idx="29">
                  <c:v>2024-06-01</c:v>
                </c:pt>
                <c:pt idx="30">
                  <c:v>2024-07-01</c:v>
                </c:pt>
                <c:pt idx="31">
                  <c:v>2024-08-01</c:v>
                </c:pt>
                <c:pt idx="32">
                  <c:v>2024-09-01</c:v>
                </c:pt>
                <c:pt idx="33">
                  <c:v>2024-10-01</c:v>
                </c:pt>
                <c:pt idx="34">
                  <c:v>2024-11-01</c:v>
                </c:pt>
                <c:pt idx="35">
                  <c:v>2024-12-01</c:v>
                </c:pt>
              </c:strCache>
            </c:strRef>
          </c:cat>
          <c:val>
            <c:numRef>
              <c:f>forecast_model_validation!$D$6:$D$41</c:f>
              <c:numCache>
                <c:formatCode>General</c:formatCode>
                <c:ptCount val="36"/>
                <c:pt idx="0">
                  <c:v>2100</c:v>
                </c:pt>
                <c:pt idx="1">
                  <c:v>2050</c:v>
                </c:pt>
                <c:pt idx="2">
                  <c:v>2200</c:v>
                </c:pt>
                <c:pt idx="3">
                  <c:v>2100</c:v>
                </c:pt>
                <c:pt idx="4">
                  <c:v>2000</c:v>
                </c:pt>
                <c:pt idx="5">
                  <c:v>1200</c:v>
                </c:pt>
                <c:pt idx="6">
                  <c:v>2100</c:v>
                </c:pt>
                <c:pt idx="7">
                  <c:v>2150</c:v>
                </c:pt>
                <c:pt idx="8">
                  <c:v>1900</c:v>
                </c:pt>
                <c:pt idx="9">
                  <c:v>2050</c:v>
                </c:pt>
                <c:pt idx="10">
                  <c:v>2100</c:v>
                </c:pt>
                <c:pt idx="11">
                  <c:v>2150</c:v>
                </c:pt>
                <c:pt idx="12">
                  <c:v>2100</c:v>
                </c:pt>
                <c:pt idx="13">
                  <c:v>2200</c:v>
                </c:pt>
                <c:pt idx="14">
                  <c:v>2500</c:v>
                </c:pt>
                <c:pt idx="15">
                  <c:v>2450</c:v>
                </c:pt>
                <c:pt idx="16">
                  <c:v>2300</c:v>
                </c:pt>
                <c:pt idx="17">
                  <c:v>1200</c:v>
                </c:pt>
                <c:pt idx="18">
                  <c:v>2400</c:v>
                </c:pt>
                <c:pt idx="19">
                  <c:v>2600</c:v>
                </c:pt>
                <c:pt idx="20">
                  <c:v>2350</c:v>
                </c:pt>
                <c:pt idx="21">
                  <c:v>2500</c:v>
                </c:pt>
                <c:pt idx="22">
                  <c:v>2700</c:v>
                </c:pt>
                <c:pt idx="23">
                  <c:v>2900</c:v>
                </c:pt>
              </c:numCache>
            </c:numRef>
          </c:val>
          <c:smooth val="0"/>
          <c:extLst>
            <c:ext xmlns:c16="http://schemas.microsoft.com/office/drawing/2014/chart" uri="{C3380CC4-5D6E-409C-BE32-E72D297353CC}">
              <c16:uniqueId val="{00000002-6077-074C-B1EF-B03BC922E157}"/>
            </c:ext>
          </c:extLst>
        </c:ser>
        <c:dLbls>
          <c:showLegendKey val="0"/>
          <c:showVal val="0"/>
          <c:showCatName val="0"/>
          <c:showSerName val="0"/>
          <c:showPercent val="0"/>
          <c:showBubbleSize val="0"/>
        </c:dLbls>
        <c:smooth val="0"/>
        <c:axId val="1780435584"/>
        <c:axId val="1780437312"/>
      </c:lineChart>
      <c:catAx>
        <c:axId val="1780435584"/>
        <c:scaling>
          <c:orientation val="minMax"/>
        </c:scaling>
        <c:delete val="0"/>
        <c:axPos val="b"/>
        <c:numFmt formatCode="yy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437312"/>
        <c:crosses val="autoZero"/>
        <c:auto val="1"/>
        <c:lblAlgn val="ctr"/>
        <c:lblOffset val="100"/>
        <c:tickLblSkip val="3"/>
        <c:noMultiLvlLbl val="0"/>
      </c:catAx>
      <c:valAx>
        <c:axId val="178043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43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Inventory Mix (2024 Plan)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v>Basics</c:v>
          </c:tx>
          <c:spPr>
            <a:solidFill>
              <a:srgbClr val="00B0F0"/>
            </a:solidFill>
            <a:ln>
              <a:noFill/>
            </a:ln>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1333.1407861434895</c:v>
              </c:pt>
              <c:pt idx="1">
                <c:v>1345.2790069041516</c:v>
              </c:pt>
              <c:pt idx="2">
                <c:v>1484.3830168213362</c:v>
              </c:pt>
              <c:pt idx="3">
                <c:v>1435.5266782596723</c:v>
              </c:pt>
              <c:pt idx="4">
                <c:v>1357.4172276648128</c:v>
              </c:pt>
              <c:pt idx="5">
                <c:v>761.79473493913656</c:v>
              </c:pt>
              <c:pt idx="6">
                <c:v>1420.9001222430743</c:v>
              </c:pt>
              <c:pt idx="7">
                <c:v>1496.5212375819979</c:v>
              </c:pt>
              <c:pt idx="8">
                <c:v>1337.8140011363444</c:v>
              </c:pt>
              <c:pt idx="9">
                <c:v>1433.0383430037359</c:v>
              </c:pt>
              <c:pt idx="10">
                <c:v>1508.6594583426599</c:v>
              </c:pt>
              <c:pt idx="11">
                <c:v>1584.2805736815826</c:v>
              </c:pt>
            </c:numLit>
          </c:val>
          <c:extLst>
            <c:ext xmlns:c16="http://schemas.microsoft.com/office/drawing/2014/chart" uri="{C3380CC4-5D6E-409C-BE32-E72D297353CC}">
              <c16:uniqueId val="{00000000-C8C9-6742-8A96-12DC22DFBA3F}"/>
            </c:ext>
          </c:extLst>
        </c:ser>
        <c:ser>
          <c:idx val="1"/>
          <c:order val="1"/>
          <c:tx>
            <c:v>Electronics</c:v>
          </c:tx>
          <c:spPr>
            <a:solidFill>
              <a:schemeClr val="accent1"/>
            </a:solidFill>
            <a:ln>
              <a:noFill/>
            </a:ln>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2141.756071950329</c:v>
              </c:pt>
              <c:pt idx="1">
                <c:v>1574.6836194302412</c:v>
              </c:pt>
              <c:pt idx="2">
                <c:v>1807.4780861943027</c:v>
              </c:pt>
              <c:pt idx="3">
                <c:v>2042.6680058436816</c:v>
              </c:pt>
              <c:pt idx="4">
                <c:v>2476.0272096420745</c:v>
              </c:pt>
              <c:pt idx="5">
                <c:v>2535.6957633308989</c:v>
              </c:pt>
              <c:pt idx="6">
                <c:v>2505.8614864864862</c:v>
              </c:pt>
              <c:pt idx="7">
                <c:v>1936.3970051132214</c:v>
              </c:pt>
              <c:pt idx="8">
                <c:v>1936.3970051132214</c:v>
              </c:pt>
              <c:pt idx="9">
                <c:v>2897.4091490138785</c:v>
              </c:pt>
              <c:pt idx="10">
                <c:v>4596.220781592403</c:v>
              </c:pt>
              <c:pt idx="11">
                <c:v>4868.4313367421473</c:v>
              </c:pt>
            </c:numLit>
          </c:val>
          <c:extLst>
            <c:ext xmlns:c16="http://schemas.microsoft.com/office/drawing/2014/chart" uri="{C3380CC4-5D6E-409C-BE32-E72D297353CC}">
              <c16:uniqueId val="{00000002-84ED-034E-9561-50C0E821E27D}"/>
            </c:ext>
          </c:extLst>
        </c:ser>
        <c:ser>
          <c:idx val="2"/>
          <c:order val="2"/>
          <c:tx>
            <c:v>Office</c:v>
          </c:tx>
          <c:spPr>
            <a:solidFill>
              <a:schemeClr val="accent4">
                <a:lumMod val="40000"/>
                <a:lumOff val="60000"/>
              </a:schemeClr>
            </a:solidFill>
            <a:ln>
              <a:noFill/>
            </a:ln>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807.98469387755119</c:v>
              </c:pt>
              <c:pt idx="1">
                <c:v>881.17346938775518</c:v>
              </c:pt>
              <c:pt idx="2">
                <c:v>913.64795918367372</c:v>
              </c:pt>
              <c:pt idx="3">
                <c:v>1597.0663265306125</c:v>
              </c:pt>
              <c:pt idx="4">
                <c:v>1061.4795918367349</c:v>
              </c:pt>
              <c:pt idx="5">
                <c:v>947.57653061224505</c:v>
              </c:pt>
              <c:pt idx="6">
                <c:v>1095.4081632653063</c:v>
              </c:pt>
              <c:pt idx="7">
                <c:v>1800.637755102041</c:v>
              </c:pt>
              <c:pt idx="8">
                <c:v>935.45918367346951</c:v>
              </c:pt>
              <c:pt idx="9">
                <c:v>1803.0612244897964</c:v>
              </c:pt>
              <c:pt idx="10">
                <c:v>1129.3367346938778</c:v>
              </c:pt>
              <c:pt idx="11">
                <c:v>1209.3112244897961</c:v>
              </c:pt>
            </c:numLit>
          </c:val>
          <c:extLst>
            <c:ext xmlns:c16="http://schemas.microsoft.com/office/drawing/2014/chart" uri="{C3380CC4-5D6E-409C-BE32-E72D297353CC}">
              <c16:uniqueId val="{00000003-84ED-034E-9561-50C0E821E27D}"/>
            </c:ext>
          </c:extLst>
        </c:ser>
        <c:dLbls>
          <c:showLegendKey val="0"/>
          <c:showVal val="0"/>
          <c:showCatName val="0"/>
          <c:showSerName val="0"/>
          <c:showPercent val="0"/>
          <c:showBubbleSize val="0"/>
        </c:dLbls>
        <c:axId val="255155919"/>
        <c:axId val="1180223"/>
      </c:areaChart>
      <c:catAx>
        <c:axId val="25515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223"/>
        <c:crosses val="autoZero"/>
        <c:auto val="1"/>
        <c:lblAlgn val="ctr"/>
        <c:lblOffset val="100"/>
        <c:noMultiLvlLbl val="0"/>
      </c:catAx>
      <c:valAx>
        <c:axId val="118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1559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Production vs 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1"/>
          <c:tx>
            <c:v>production</c:v>
          </c:tx>
          <c:spPr>
            <a:solidFill>
              <a:schemeClr val="accent1"/>
            </a:solidFill>
            <a:ln>
              <a:noFill/>
            </a:ln>
            <a:effectLst/>
          </c:spPr>
          <c:invertIfNegative val="0"/>
          <c:cat>
            <c:strRef>
              <c:f>inventory!$A$1:$A$25</c:f>
              <c:strCache>
                <c:ptCount val="25"/>
                <c:pt idx="0">
                  <c:v>Date</c:v>
                </c:pt>
                <c:pt idx="1">
                  <c:v>2024-01-01</c:v>
                </c:pt>
                <c:pt idx="2">
                  <c:v>2024-02-01</c:v>
                </c:pt>
                <c:pt idx="3">
                  <c:v>2024-03-01</c:v>
                </c:pt>
                <c:pt idx="4">
                  <c:v>2024-04-01</c:v>
                </c:pt>
                <c:pt idx="5">
                  <c:v>2024-05-01</c:v>
                </c:pt>
                <c:pt idx="6">
                  <c:v>2024-06-01</c:v>
                </c:pt>
                <c:pt idx="7">
                  <c:v>2024-07-01</c:v>
                </c:pt>
                <c:pt idx="8">
                  <c:v>2024-08-01</c:v>
                </c:pt>
                <c:pt idx="9">
                  <c:v>2024-09-01</c:v>
                </c:pt>
                <c:pt idx="10">
                  <c:v>2024-10-01</c:v>
                </c:pt>
                <c:pt idx="11">
                  <c:v>2024-11-01</c:v>
                </c:pt>
                <c:pt idx="12">
                  <c:v>2024-12-01</c:v>
                </c:pt>
                <c:pt idx="13">
                  <c:v>2024-01-01</c:v>
                </c:pt>
                <c:pt idx="14">
                  <c:v>2024-02-01</c:v>
                </c:pt>
                <c:pt idx="15">
                  <c:v>2024-03-01</c:v>
                </c:pt>
                <c:pt idx="16">
                  <c:v>2024-04-01</c:v>
                </c:pt>
                <c:pt idx="17">
                  <c:v>2024-05-01</c:v>
                </c:pt>
                <c:pt idx="18">
                  <c:v>2024-06-01</c:v>
                </c:pt>
                <c:pt idx="19">
                  <c:v>2024-07-01</c:v>
                </c:pt>
                <c:pt idx="20">
                  <c:v>2024-08-01</c:v>
                </c:pt>
                <c:pt idx="21">
                  <c:v>2024-09-01</c:v>
                </c:pt>
                <c:pt idx="22">
                  <c:v>2024-10-01</c:v>
                </c:pt>
                <c:pt idx="23">
                  <c:v>2024-11-01</c:v>
                </c:pt>
                <c:pt idx="24">
                  <c:v>2024-12-01</c:v>
                </c:pt>
              </c:strCache>
            </c:strRef>
          </c:cat>
          <c:val>
            <c:numRef>
              <c:f>inventory!$E$1:$E$37</c:f>
              <c:numCache>
                <c:formatCode>0</c:formatCode>
                <c:ptCount val="37"/>
                <c:pt idx="0" formatCode="General">
                  <c:v>0</c:v>
                </c:pt>
                <c:pt idx="1">
                  <c:v>0</c:v>
                </c:pt>
                <c:pt idx="2">
                  <c:v>745.16389700511309</c:v>
                </c:pt>
                <c:pt idx="3">
                  <c:v>1739.0262052593137</c:v>
                </c:pt>
                <c:pt idx="4">
                  <c:v>1937.4132578524468</c:v>
                </c:pt>
                <c:pt idx="5">
                  <c:v>2496.7152118334552</c:v>
                </c:pt>
                <c:pt idx="6">
                  <c:v>2172.7483564645731</c:v>
                </c:pt>
                <c:pt idx="7">
                  <c:v>2058.3836285609927</c:v>
                </c:pt>
                <c:pt idx="8">
                  <c:v>1044.1996895544198</c:v>
                </c:pt>
                <c:pt idx="9">
                  <c:v>1613.6641709276846</c:v>
                </c:pt>
                <c:pt idx="10">
                  <c:v>3375.5197680788892</c:v>
                </c:pt>
                <c:pt idx="11">
                  <c:v>5528.9956172388611</c:v>
                </c:pt>
                <c:pt idx="12">
                  <c:v>4329.2366691015341</c:v>
                </c:pt>
                <c:pt idx="13">
                  <c:v>2549.4223584304682</c:v>
                </c:pt>
                <c:pt idx="14">
                  <c:v>2702.6962345689649</c:v>
                </c:pt>
                <c:pt idx="15">
                  <c:v>3107.8700435598562</c:v>
                </c:pt>
                <c:pt idx="16">
                  <c:v>2822.1970179576801</c:v>
                </c:pt>
                <c:pt idx="17">
                  <c:v>2636.7250047347666</c:v>
                </c:pt>
                <c:pt idx="18">
                  <c:v>927.96697715259734</c:v>
                </c:pt>
                <c:pt idx="19">
                  <c:v>3500.9056317900863</c:v>
                </c:pt>
                <c:pt idx="20">
                  <c:v>3068.6635905029189</c:v>
                </c:pt>
                <c:pt idx="21">
                  <c:v>2516.9207658270352</c:v>
                </c:pt>
                <c:pt idx="22">
                  <c:v>2961.3010278748638</c:v>
                </c:pt>
                <c:pt idx="23">
                  <c:v>3092.9400320242435</c:v>
                </c:pt>
                <c:pt idx="24">
                  <c:v>3244.1822627020879</c:v>
                </c:pt>
                <c:pt idx="25">
                  <c:v>715.96938775510239</c:v>
                </c:pt>
                <c:pt idx="26">
                  <c:v>954.36224489795916</c:v>
                </c:pt>
                <c:pt idx="27">
                  <c:v>946.12244897959226</c:v>
                </c:pt>
                <c:pt idx="28">
                  <c:v>2280.4846938775513</c:v>
                </c:pt>
                <c:pt idx="29">
                  <c:v>525.89285714285734</c:v>
                </c:pt>
                <c:pt idx="30">
                  <c:v>833.67346938775518</c:v>
                </c:pt>
                <c:pt idx="31">
                  <c:v>1243.2397959183675</c:v>
                </c:pt>
                <c:pt idx="32">
                  <c:v>2505.8673469387759</c:v>
                </c:pt>
                <c:pt idx="33">
                  <c:v>70.280612244898066</c:v>
                </c:pt>
                <c:pt idx="34">
                  <c:v>2670.6632653061233</c:v>
                </c:pt>
                <c:pt idx="35">
                  <c:v>455.61224489795927</c:v>
                </c:pt>
                <c:pt idx="36">
                  <c:v>1289.2857142857144</c:v>
                </c:pt>
              </c:numCache>
            </c:numRef>
          </c:val>
          <c:extLst>
            <c:ext xmlns:c16="http://schemas.microsoft.com/office/drawing/2014/chart" uri="{C3380CC4-5D6E-409C-BE32-E72D297353CC}">
              <c16:uniqueId val="{00000002-10D6-294B-8275-949DBFDD0A4E}"/>
            </c:ext>
          </c:extLst>
        </c:ser>
        <c:dLbls>
          <c:showLegendKey val="0"/>
          <c:showVal val="0"/>
          <c:showCatName val="0"/>
          <c:showSerName val="0"/>
          <c:showPercent val="0"/>
          <c:showBubbleSize val="0"/>
        </c:dLbls>
        <c:gapWidth val="150"/>
        <c:axId val="1965249824"/>
        <c:axId val="1931988848"/>
      </c:barChart>
      <c:lineChart>
        <c:grouping val="standard"/>
        <c:varyColors val="0"/>
        <c:ser>
          <c:idx val="0"/>
          <c:order val="0"/>
          <c:tx>
            <c:v>forecast</c:v>
          </c:tx>
          <c:spPr>
            <a:ln w="28575" cap="rnd">
              <a:solidFill>
                <a:schemeClr val="accent1"/>
              </a:solidFill>
              <a:round/>
            </a:ln>
            <a:effectLst/>
          </c:spPr>
          <c:marker>
            <c:symbol val="none"/>
          </c:marker>
          <c:cat>
            <c:numRef>
              <c:f>inventory!$A$2:$A$13</c:f>
              <c:numCache>
                <c:formatCode>m/d/yy</c:formatCode>
                <c:ptCount val="1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numCache>
            </c:numRef>
          </c:cat>
          <c:val>
            <c:numRef>
              <c:f>inventory!$G$2:$G$37</c:f>
              <c:numCache>
                <c:formatCode>0</c:formatCode>
                <c:ptCount val="36"/>
                <c:pt idx="0">
                  <c:v>1308.2439280496712</c:v>
                </c:pt>
                <c:pt idx="1">
                  <c:v>1312.2363495252009</c:v>
                </c:pt>
                <c:pt idx="2">
                  <c:v>1506.2317384952521</c:v>
                </c:pt>
                <c:pt idx="3">
                  <c:v>1702.2233382030679</c:v>
                </c:pt>
                <c:pt idx="4">
                  <c:v>2063.3560080350621</c:v>
                </c:pt>
                <c:pt idx="5">
                  <c:v>2113.0798027757487</c:v>
                </c:pt>
                <c:pt idx="6">
                  <c:v>2088.2179054054054</c:v>
                </c:pt>
                <c:pt idx="7">
                  <c:v>1613.6641709276846</c:v>
                </c:pt>
                <c:pt idx="8">
                  <c:v>1613.6641709276846</c:v>
                </c:pt>
                <c:pt idx="9">
                  <c:v>2414.5076241782322</c:v>
                </c:pt>
                <c:pt idx="10">
                  <c:v>3830.1839846603361</c:v>
                </c:pt>
                <c:pt idx="11">
                  <c:v>4057.0261139517897</c:v>
                </c:pt>
                <c:pt idx="12">
                  <c:v>2666.2815722869786</c:v>
                </c:pt>
                <c:pt idx="13">
                  <c:v>2690.5580138083028</c:v>
                </c:pt>
                <c:pt idx="14">
                  <c:v>2968.7660336426716</c:v>
                </c:pt>
                <c:pt idx="15">
                  <c:v>2871.0533565193441</c:v>
                </c:pt>
                <c:pt idx="16">
                  <c:v>2714.8344553296261</c:v>
                </c:pt>
                <c:pt idx="17">
                  <c:v>1523.5894698782736</c:v>
                </c:pt>
                <c:pt idx="18">
                  <c:v>2841.8002444861486</c:v>
                </c:pt>
                <c:pt idx="19">
                  <c:v>2993.0424751639953</c:v>
                </c:pt>
                <c:pt idx="20">
                  <c:v>2675.6280022726887</c:v>
                </c:pt>
                <c:pt idx="21">
                  <c:v>2866.0766860074723</c:v>
                </c:pt>
                <c:pt idx="22">
                  <c:v>3017.3189166853194</c:v>
                </c:pt>
                <c:pt idx="23">
                  <c:v>3168.5611473631652</c:v>
                </c:pt>
                <c:pt idx="24">
                  <c:v>807.98469387755119</c:v>
                </c:pt>
                <c:pt idx="25">
                  <c:v>881.17346938775518</c:v>
                </c:pt>
                <c:pt idx="26">
                  <c:v>913.64795918367372</c:v>
                </c:pt>
                <c:pt idx="27">
                  <c:v>1597.0663265306125</c:v>
                </c:pt>
                <c:pt idx="28">
                  <c:v>1061.4795918367349</c:v>
                </c:pt>
                <c:pt idx="29">
                  <c:v>947.57653061224505</c:v>
                </c:pt>
                <c:pt idx="30">
                  <c:v>1095.4081632653063</c:v>
                </c:pt>
                <c:pt idx="31">
                  <c:v>1800.637755102041</c:v>
                </c:pt>
                <c:pt idx="32">
                  <c:v>935.45918367346951</c:v>
                </c:pt>
                <c:pt idx="33">
                  <c:v>1803.0612244897964</c:v>
                </c:pt>
                <c:pt idx="34">
                  <c:v>1129.3367346938778</c:v>
                </c:pt>
                <c:pt idx="35">
                  <c:v>1209.3112244897961</c:v>
                </c:pt>
              </c:numCache>
            </c:numRef>
          </c:val>
          <c:smooth val="0"/>
          <c:extLst>
            <c:ext xmlns:c16="http://schemas.microsoft.com/office/drawing/2014/chart" uri="{C3380CC4-5D6E-409C-BE32-E72D297353CC}">
              <c16:uniqueId val="{00000000-10D6-294B-8275-949DBFDD0A4E}"/>
            </c:ext>
          </c:extLst>
        </c:ser>
        <c:dLbls>
          <c:showLegendKey val="0"/>
          <c:showVal val="0"/>
          <c:showCatName val="0"/>
          <c:showSerName val="0"/>
          <c:showPercent val="0"/>
          <c:showBubbleSize val="0"/>
        </c:dLbls>
        <c:marker val="1"/>
        <c:smooth val="0"/>
        <c:axId val="1965249824"/>
        <c:axId val="1931988848"/>
      </c:lineChart>
      <c:dateAx>
        <c:axId val="196524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988848"/>
        <c:auto val="1"/>
        <c:lblOffset val="100"/>
        <c:baseTimeUnit val="months"/>
      </c:dateAx>
      <c:valAx>
        <c:axId val="193198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249824"/>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[google_data.xlsx]stress_test!PivotTable7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Category Stress Test</a:t>
            </a:r>
          </a:p>
          <a:p>
            <a:pPr>
              <a:defRPr/>
            </a:pPr>
            <a:r>
              <a:rPr lang="en-US" sz="1400" b="0" i="0" u="none" strike="noStrike" kern="1200" spc="0" baseline="0">
                <a:solidFill>
                  <a:sysClr val="windowText" lastClr="000000">
                    <a:lumMod val="65000"/>
                    <a:lumOff val="35000"/>
                  </a:sysClr>
                </a:solidFill>
              </a:rPr>
              <a:t>±95% Confidence Intervals based on Historical  Volatility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alpha val="3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stress_test!$B$3</c:f>
              <c:strCache>
                <c:ptCount val="1"/>
                <c:pt idx="0">
                  <c:v>Sum of High Demand</c:v>
                </c:pt>
              </c:strCache>
            </c:strRef>
          </c:tx>
          <c:spPr>
            <a:solidFill>
              <a:schemeClr val="bg2">
                <a:lumMod val="75000"/>
                <a:alpha val="30000"/>
              </a:schemeClr>
            </a:solidFill>
            <a:ln>
              <a:noFill/>
            </a:ln>
            <a:effectLst/>
          </c:spPr>
          <c:cat>
            <c:strRef>
              <c:f>stress_test!$A$4:$A$16</c:f>
              <c:strCache>
                <c:ptCount val="12"/>
                <c:pt idx="0">
                  <c:v>2024-01-01</c:v>
                </c:pt>
                <c:pt idx="1">
                  <c:v>2024-02-01</c:v>
                </c:pt>
                <c:pt idx="2">
                  <c:v>2024-03-01</c:v>
                </c:pt>
                <c:pt idx="3">
                  <c:v>2024-04-01</c:v>
                </c:pt>
                <c:pt idx="4">
                  <c:v>2024-05-01</c:v>
                </c:pt>
                <c:pt idx="5">
                  <c:v>2024-06-01</c:v>
                </c:pt>
                <c:pt idx="6">
                  <c:v>2024-07-01</c:v>
                </c:pt>
                <c:pt idx="7">
                  <c:v>2024-08-01</c:v>
                </c:pt>
                <c:pt idx="8">
                  <c:v>2024-09-01</c:v>
                </c:pt>
                <c:pt idx="9">
                  <c:v>2024-10-01</c:v>
                </c:pt>
                <c:pt idx="10">
                  <c:v>2024-11-01</c:v>
                </c:pt>
                <c:pt idx="11">
                  <c:v>2024-12-01</c:v>
                </c:pt>
              </c:strCache>
            </c:strRef>
          </c:cat>
          <c:val>
            <c:numRef>
              <c:f>stress_test!$B$4:$B$16</c:f>
              <c:numCache>
                <c:formatCode>0</c:formatCode>
                <c:ptCount val="12"/>
                <c:pt idx="0">
                  <c:v>4201.7475640448029</c:v>
                </c:pt>
                <c:pt idx="1">
                  <c:v>4240.0043933632478</c:v>
                </c:pt>
                <c:pt idx="2">
                  <c:v>4678.4276573526258</c:v>
                </c:pt>
                <c:pt idx="3">
                  <c:v>4524.4439193458857</c:v>
                </c:pt>
                <c:pt idx="4">
                  <c:v>4278.2612226816927</c:v>
                </c:pt>
                <c:pt idx="5">
                  <c:v>2400.9986080256017</c:v>
                </c:pt>
                <c:pt idx="6">
                  <c:v>4478.3444400171584</c:v>
                </c:pt>
                <c:pt idx="7">
                  <c:v>4716.6844866710708</c:v>
                </c:pt>
                <c:pt idx="8">
                  <c:v>4216.4764433324044</c:v>
                </c:pt>
                <c:pt idx="9">
                  <c:v>4516.6012693356033</c:v>
                </c:pt>
                <c:pt idx="10">
                  <c:v>4754.9413159895166</c:v>
                </c:pt>
                <c:pt idx="11">
                  <c:v>4993.2813626434272</c:v>
                </c:pt>
              </c:numCache>
            </c:numRef>
          </c:val>
          <c:extLst>
            <c:ext xmlns:c16="http://schemas.microsoft.com/office/drawing/2014/chart" uri="{C3380CC4-5D6E-409C-BE32-E72D297353CC}">
              <c16:uniqueId val="{00000000-F41C-C84B-8E49-43FBC51864C3}"/>
            </c:ext>
          </c:extLst>
        </c:ser>
        <c:ser>
          <c:idx val="2"/>
          <c:order val="2"/>
          <c:tx>
            <c:strRef>
              <c:f>stress_test!$D$3</c:f>
              <c:strCache>
                <c:ptCount val="1"/>
                <c:pt idx="0">
                  <c:v>Sum of Low Demand</c:v>
                </c:pt>
              </c:strCache>
            </c:strRef>
          </c:tx>
          <c:spPr>
            <a:noFill/>
            <a:ln w="25400">
              <a:noFill/>
            </a:ln>
            <a:effectLst/>
          </c:spPr>
          <c:cat>
            <c:strRef>
              <c:f>stress_test!$A$4:$A$16</c:f>
              <c:strCache>
                <c:ptCount val="12"/>
                <c:pt idx="0">
                  <c:v>2024-01-01</c:v>
                </c:pt>
                <c:pt idx="1">
                  <c:v>2024-02-01</c:v>
                </c:pt>
                <c:pt idx="2">
                  <c:v>2024-03-01</c:v>
                </c:pt>
                <c:pt idx="3">
                  <c:v>2024-04-01</c:v>
                </c:pt>
                <c:pt idx="4">
                  <c:v>2024-05-01</c:v>
                </c:pt>
                <c:pt idx="5">
                  <c:v>2024-06-01</c:v>
                </c:pt>
                <c:pt idx="6">
                  <c:v>2024-07-01</c:v>
                </c:pt>
                <c:pt idx="7">
                  <c:v>2024-08-01</c:v>
                </c:pt>
                <c:pt idx="8">
                  <c:v>2024-09-01</c:v>
                </c:pt>
                <c:pt idx="9">
                  <c:v>2024-10-01</c:v>
                </c:pt>
                <c:pt idx="10">
                  <c:v>2024-11-01</c:v>
                </c:pt>
                <c:pt idx="11">
                  <c:v>2024-12-01</c:v>
                </c:pt>
              </c:strCache>
            </c:strRef>
          </c:cat>
          <c:val>
            <c:numRef>
              <c:f>stress_test!$D$4:$D$16</c:f>
              <c:numCache>
                <c:formatCode>0</c:formatCode>
                <c:ptCount val="12"/>
                <c:pt idx="0">
                  <c:v>1130.8155805291547</c:v>
                </c:pt>
                <c:pt idx="1">
                  <c:v>1141.1116342533574</c:v>
                </c:pt>
                <c:pt idx="2">
                  <c:v>1259.1044099327173</c:v>
                </c:pt>
                <c:pt idx="3">
                  <c:v>1217.6627936928026</c:v>
                </c:pt>
                <c:pt idx="4">
                  <c:v>1151.4076879775596</c:v>
                </c:pt>
                <c:pt idx="5">
                  <c:v>646.18033173094557</c:v>
                </c:pt>
                <c:pt idx="6">
                  <c:v>1205.2560489551383</c:v>
                </c:pt>
                <c:pt idx="7">
                  <c:v>1269.4004636569198</c:v>
                </c:pt>
                <c:pt idx="8">
                  <c:v>1134.7795612129728</c:v>
                </c:pt>
                <c:pt idx="9">
                  <c:v>1215.5521026793408</c:v>
                </c:pt>
                <c:pt idx="10">
                  <c:v>1279.6965173811222</c:v>
                </c:pt>
                <c:pt idx="11">
                  <c:v>1343.8409320829032</c:v>
                </c:pt>
              </c:numCache>
            </c:numRef>
          </c:val>
          <c:extLst>
            <c:ext xmlns:c16="http://schemas.microsoft.com/office/drawing/2014/chart" uri="{C3380CC4-5D6E-409C-BE32-E72D297353CC}">
              <c16:uniqueId val="{00000006-F41C-C84B-8E49-43FBC51864C3}"/>
            </c:ext>
          </c:extLst>
        </c:ser>
        <c:ser>
          <c:idx val="1"/>
          <c:order val="1"/>
          <c:tx>
            <c:strRef>
              <c:f>stress_test!$C$3</c:f>
              <c:strCache>
                <c:ptCount val="1"/>
                <c:pt idx="0">
                  <c:v>Sum of Forecast_index</c:v>
                </c:pt>
              </c:strCache>
            </c:strRef>
          </c:tx>
          <c:spPr>
            <a:solidFill>
              <a:schemeClr val="bg1"/>
            </a:solidFill>
            <a:ln>
              <a:noFill/>
            </a:ln>
            <a:effectLst/>
          </c:spPr>
          <c:cat>
            <c:strRef>
              <c:f>stress_test!$A$4:$A$16</c:f>
              <c:strCache>
                <c:ptCount val="12"/>
                <c:pt idx="0">
                  <c:v>2024-01-01</c:v>
                </c:pt>
                <c:pt idx="1">
                  <c:v>2024-02-01</c:v>
                </c:pt>
                <c:pt idx="2">
                  <c:v>2024-03-01</c:v>
                </c:pt>
                <c:pt idx="3">
                  <c:v>2024-04-01</c:v>
                </c:pt>
                <c:pt idx="4">
                  <c:v>2024-05-01</c:v>
                </c:pt>
                <c:pt idx="5">
                  <c:v>2024-06-01</c:v>
                </c:pt>
                <c:pt idx="6">
                  <c:v>2024-07-01</c:v>
                </c:pt>
                <c:pt idx="7">
                  <c:v>2024-08-01</c:v>
                </c:pt>
                <c:pt idx="8">
                  <c:v>2024-09-01</c:v>
                </c:pt>
                <c:pt idx="9">
                  <c:v>2024-10-01</c:v>
                </c:pt>
                <c:pt idx="10">
                  <c:v>2024-11-01</c:v>
                </c:pt>
                <c:pt idx="11">
                  <c:v>2024-12-01</c:v>
                </c:pt>
              </c:strCache>
            </c:strRef>
          </c:cat>
          <c:val>
            <c:numRef>
              <c:f>stress_test!$C$4:$C$16</c:f>
              <c:numCache>
                <c:formatCode>0</c:formatCode>
                <c:ptCount val="12"/>
                <c:pt idx="0">
                  <c:v>2666.2815722869786</c:v>
                </c:pt>
                <c:pt idx="1">
                  <c:v>2690.5580138083028</c:v>
                </c:pt>
                <c:pt idx="2">
                  <c:v>2968.7660336426716</c:v>
                </c:pt>
                <c:pt idx="3">
                  <c:v>2871.0533565193441</c:v>
                </c:pt>
                <c:pt idx="4">
                  <c:v>2714.8344553296261</c:v>
                </c:pt>
                <c:pt idx="5">
                  <c:v>1523.5894698782736</c:v>
                </c:pt>
                <c:pt idx="6">
                  <c:v>2841.8002444861486</c:v>
                </c:pt>
                <c:pt idx="7">
                  <c:v>2993.0424751639953</c:v>
                </c:pt>
                <c:pt idx="8">
                  <c:v>2675.6280022726887</c:v>
                </c:pt>
                <c:pt idx="9">
                  <c:v>2866.0766860074723</c:v>
                </c:pt>
                <c:pt idx="10">
                  <c:v>3017.3189166853194</c:v>
                </c:pt>
                <c:pt idx="11">
                  <c:v>3168.5611473631652</c:v>
                </c:pt>
              </c:numCache>
            </c:numRef>
          </c:val>
          <c:extLst>
            <c:ext xmlns:c16="http://schemas.microsoft.com/office/drawing/2014/chart" uri="{C3380CC4-5D6E-409C-BE32-E72D297353CC}">
              <c16:uniqueId val="{00000001-F41C-C84B-8E49-43FBC51864C3}"/>
            </c:ext>
          </c:extLst>
        </c:ser>
        <c:dLbls>
          <c:showLegendKey val="0"/>
          <c:showVal val="0"/>
          <c:showCatName val="0"/>
          <c:showSerName val="0"/>
          <c:showPercent val="0"/>
          <c:showBubbleSize val="0"/>
        </c:dLbls>
        <c:axId val="1978472256"/>
        <c:axId val="1895103296"/>
      </c:areaChart>
      <c:lineChart>
        <c:grouping val="standard"/>
        <c:varyColors val="0"/>
        <c:ser>
          <c:idx val="3"/>
          <c:order val="3"/>
          <c:tx>
            <c:strRef>
              <c:f>stress_test!$E$3</c:f>
              <c:strCache>
                <c:ptCount val="1"/>
                <c:pt idx="0">
                  <c:v>Sum of The Gap</c:v>
                </c:pt>
              </c:strCache>
            </c:strRef>
          </c:tx>
          <c:spPr>
            <a:ln w="28575" cap="rnd">
              <a:solidFill>
                <a:schemeClr val="accent1"/>
              </a:solidFill>
              <a:round/>
            </a:ln>
            <a:effectLst/>
          </c:spPr>
          <c:marker>
            <c:symbol val="none"/>
          </c:marker>
          <c:cat>
            <c:strRef>
              <c:f>stress_test!$A$4:$A$16</c:f>
              <c:strCache>
                <c:ptCount val="12"/>
                <c:pt idx="0">
                  <c:v>2024-01-01</c:v>
                </c:pt>
                <c:pt idx="1">
                  <c:v>2024-02-01</c:v>
                </c:pt>
                <c:pt idx="2">
                  <c:v>2024-03-01</c:v>
                </c:pt>
                <c:pt idx="3">
                  <c:v>2024-04-01</c:v>
                </c:pt>
                <c:pt idx="4">
                  <c:v>2024-05-01</c:v>
                </c:pt>
                <c:pt idx="5">
                  <c:v>2024-06-01</c:v>
                </c:pt>
                <c:pt idx="6">
                  <c:v>2024-07-01</c:v>
                </c:pt>
                <c:pt idx="7">
                  <c:v>2024-08-01</c:v>
                </c:pt>
                <c:pt idx="8">
                  <c:v>2024-09-01</c:v>
                </c:pt>
                <c:pt idx="9">
                  <c:v>2024-10-01</c:v>
                </c:pt>
                <c:pt idx="10">
                  <c:v>2024-11-01</c:v>
                </c:pt>
                <c:pt idx="11">
                  <c:v>2024-12-01</c:v>
                </c:pt>
              </c:strCache>
            </c:strRef>
          </c:cat>
          <c:val>
            <c:numRef>
              <c:f>stress_test!$E$4:$E$16</c:f>
              <c:numCache>
                <c:formatCode>0</c:formatCode>
                <c:ptCount val="12"/>
                <c:pt idx="0">
                  <c:v>3070.9319835156484</c:v>
                </c:pt>
                <c:pt idx="1">
                  <c:v>3098.8927591098904</c:v>
                </c:pt>
                <c:pt idx="2">
                  <c:v>3419.3232474199085</c:v>
                </c:pt>
                <c:pt idx="3">
                  <c:v>3306.7811256530831</c:v>
                </c:pt>
                <c:pt idx="4">
                  <c:v>3126.8535347041334</c:v>
                </c:pt>
                <c:pt idx="5">
                  <c:v>1754.8182762946562</c:v>
                </c:pt>
                <c:pt idx="6">
                  <c:v>3273.08839106202</c:v>
                </c:pt>
                <c:pt idx="7">
                  <c:v>3447.284023014151</c:v>
                </c:pt>
                <c:pt idx="8">
                  <c:v>3081.6968821194314</c:v>
                </c:pt>
                <c:pt idx="9">
                  <c:v>3301.0491666562625</c:v>
                </c:pt>
                <c:pt idx="10">
                  <c:v>3475.2447986083944</c:v>
                </c:pt>
                <c:pt idx="11">
                  <c:v>3649.440430560524</c:v>
                </c:pt>
              </c:numCache>
            </c:numRef>
          </c:val>
          <c:smooth val="0"/>
          <c:extLst>
            <c:ext xmlns:c16="http://schemas.microsoft.com/office/drawing/2014/chart" uri="{C3380CC4-5D6E-409C-BE32-E72D297353CC}">
              <c16:uniqueId val="{00000007-F41C-C84B-8E49-43FBC51864C3}"/>
            </c:ext>
          </c:extLst>
        </c:ser>
        <c:dLbls>
          <c:showLegendKey val="0"/>
          <c:showVal val="0"/>
          <c:showCatName val="0"/>
          <c:showSerName val="0"/>
          <c:showPercent val="0"/>
          <c:showBubbleSize val="0"/>
        </c:dLbls>
        <c:marker val="1"/>
        <c:smooth val="0"/>
        <c:axId val="1978472256"/>
        <c:axId val="1895103296"/>
      </c:lineChart>
      <c:catAx>
        <c:axId val="1978472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103296"/>
        <c:crosses val="autoZero"/>
        <c:auto val="1"/>
        <c:lblAlgn val="ctr"/>
        <c:lblOffset val="100"/>
        <c:noMultiLvlLbl val="0"/>
      </c:catAx>
      <c:valAx>
        <c:axId val="1895103296"/>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47225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12</xdr:col>
      <xdr:colOff>826264</xdr:colOff>
      <xdr:row>31</xdr:row>
      <xdr:rowOff>-1</xdr:rowOff>
    </xdr:from>
    <xdr:to>
      <xdr:col>24</xdr:col>
      <xdr:colOff>237964</xdr:colOff>
      <xdr:row>58</xdr:row>
      <xdr:rowOff>115677</xdr:rowOff>
    </xdr:to>
    <xdr:graphicFrame macro="">
      <xdr:nvGraphicFramePr>
        <xdr:cNvPr id="10" name="Chart 9">
          <a:extLst>
            <a:ext uri="{FF2B5EF4-FFF2-40B4-BE49-F238E27FC236}">
              <a16:creationId xmlns:a16="http://schemas.microsoft.com/office/drawing/2014/main" id="{5F2EFB84-DB30-3B46-B19E-7B013A00C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829732</xdr:colOff>
      <xdr:row>2</xdr:row>
      <xdr:rowOff>0</xdr:rowOff>
    </xdr:from>
    <xdr:to>
      <xdr:col>27</xdr:col>
      <xdr:colOff>626532</xdr:colOff>
      <xdr:row>13</xdr:row>
      <xdr:rowOff>102521</xdr:rowOff>
    </xdr:to>
    <mc:AlternateContent xmlns:mc="http://schemas.openxmlformats.org/markup-compatibility/2006" xmlns:a14="http://schemas.microsoft.com/office/drawing/2010/main">
      <mc:Choice Requires="a14">
        <xdr:graphicFrame macro="">
          <xdr:nvGraphicFramePr>
            <xdr:cNvPr id="12" name="Category 2">
              <a:extLst>
                <a:ext uri="{FF2B5EF4-FFF2-40B4-BE49-F238E27FC236}">
                  <a16:creationId xmlns:a16="http://schemas.microsoft.com/office/drawing/2014/main" id="{1B7FA9B4-572A-C843-BEA1-0D52CAD9663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0577338" y="393521"/>
              <a:ext cx="2265250" cy="2266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795866</xdr:colOff>
      <xdr:row>14</xdr:row>
      <xdr:rowOff>101599</xdr:rowOff>
    </xdr:from>
    <xdr:to>
      <xdr:col>27</xdr:col>
      <xdr:colOff>592666</xdr:colOff>
      <xdr:row>20</xdr:row>
      <xdr:rowOff>152400</xdr:rowOff>
    </xdr:to>
    <xdr:sp macro="" textlink="">
      <xdr:nvSpPr>
        <xdr:cNvPr id="5" name="TextBox 4">
          <a:extLst>
            <a:ext uri="{FF2B5EF4-FFF2-40B4-BE49-F238E27FC236}">
              <a16:creationId xmlns:a16="http://schemas.microsoft.com/office/drawing/2014/main" id="{E6AD29B0-9482-3E66-E08E-85C2B94178E4}"/>
            </a:ext>
          </a:extLst>
        </xdr:cNvPr>
        <xdr:cNvSpPr txBox="1"/>
      </xdr:nvSpPr>
      <xdr:spPr>
        <a:xfrm>
          <a:off x="20709466" y="2946399"/>
          <a:ext cx="2286000" cy="1270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000"/>
            <a:t>(Select a category to explore detailed forecasts and plans)</a:t>
          </a:r>
          <a:endParaRPr lang="en-US" sz="2000"/>
        </a:p>
      </xdr:txBody>
    </xdr:sp>
    <xdr:clientData/>
  </xdr:twoCellAnchor>
  <xdr:twoCellAnchor>
    <xdr:from>
      <xdr:col>27</xdr:col>
      <xdr:colOff>328601</xdr:colOff>
      <xdr:row>2</xdr:row>
      <xdr:rowOff>26644</xdr:rowOff>
    </xdr:from>
    <xdr:to>
      <xdr:col>27</xdr:col>
      <xdr:colOff>537307</xdr:colOff>
      <xdr:row>3</xdr:row>
      <xdr:rowOff>53287</xdr:rowOff>
    </xdr:to>
    <xdr:sp macro="" textlink="">
      <xdr:nvSpPr>
        <xdr:cNvPr id="6" name="Rounded Rectangle 5">
          <a:extLst>
            <a:ext uri="{FF2B5EF4-FFF2-40B4-BE49-F238E27FC236}">
              <a16:creationId xmlns:a16="http://schemas.microsoft.com/office/drawing/2014/main" id="{304DD2A9-F24B-563D-CCD5-2AF7B75AF14D}"/>
            </a:ext>
          </a:extLst>
        </xdr:cNvPr>
        <xdr:cNvSpPr/>
      </xdr:nvSpPr>
      <xdr:spPr>
        <a:xfrm>
          <a:off x="22629091" y="435175"/>
          <a:ext cx="208706" cy="230909"/>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27</xdr:col>
      <xdr:colOff>10391</xdr:colOff>
      <xdr:row>2</xdr:row>
      <xdr:rowOff>16075</xdr:rowOff>
    </xdr:from>
    <xdr:to>
      <xdr:col>27</xdr:col>
      <xdr:colOff>219097</xdr:colOff>
      <xdr:row>3</xdr:row>
      <xdr:rowOff>42718</xdr:rowOff>
    </xdr:to>
    <xdr:sp macro="" textlink="">
      <xdr:nvSpPr>
        <xdr:cNvPr id="7" name="Rounded Rectangle 6">
          <a:extLst>
            <a:ext uri="{FF2B5EF4-FFF2-40B4-BE49-F238E27FC236}">
              <a16:creationId xmlns:a16="http://schemas.microsoft.com/office/drawing/2014/main" id="{5CC80797-AF70-E44E-A780-11EC5D8AEE00}"/>
            </a:ext>
          </a:extLst>
        </xdr:cNvPr>
        <xdr:cNvSpPr/>
      </xdr:nvSpPr>
      <xdr:spPr>
        <a:xfrm>
          <a:off x="22298891" y="422475"/>
          <a:ext cx="208706" cy="229843"/>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820614</xdr:colOff>
      <xdr:row>3</xdr:row>
      <xdr:rowOff>0</xdr:rowOff>
    </xdr:from>
    <xdr:to>
      <xdr:col>24</xdr:col>
      <xdr:colOff>156307</xdr:colOff>
      <xdr:row>29</xdr:row>
      <xdr:rowOff>97692</xdr:rowOff>
    </xdr:to>
    <xdr:graphicFrame macro="">
      <xdr:nvGraphicFramePr>
        <xdr:cNvPr id="9" name="Chart 8">
          <a:extLst>
            <a:ext uri="{FF2B5EF4-FFF2-40B4-BE49-F238E27FC236}">
              <a16:creationId xmlns:a16="http://schemas.microsoft.com/office/drawing/2014/main" id="{D4BE8087-C55B-8347-B6E2-76C273DC9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820614</xdr:colOff>
      <xdr:row>3</xdr:row>
      <xdr:rowOff>97691</xdr:rowOff>
    </xdr:from>
    <xdr:to>
      <xdr:col>12</xdr:col>
      <xdr:colOff>332153</xdr:colOff>
      <xdr:row>28</xdr:row>
      <xdr:rowOff>175845</xdr:rowOff>
    </xdr:to>
    <xdr:graphicFrame macro="">
      <xdr:nvGraphicFramePr>
        <xdr:cNvPr id="11" name="Chart 10">
          <a:extLst>
            <a:ext uri="{FF2B5EF4-FFF2-40B4-BE49-F238E27FC236}">
              <a16:creationId xmlns:a16="http://schemas.microsoft.com/office/drawing/2014/main" id="{B4C2CC47-D0E5-FF44-ABBC-A8559FF20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31</xdr:row>
      <xdr:rowOff>0</xdr:rowOff>
    </xdr:from>
    <xdr:to>
      <xdr:col>12</xdr:col>
      <xdr:colOff>234461</xdr:colOff>
      <xdr:row>58</xdr:row>
      <xdr:rowOff>175846</xdr:rowOff>
    </xdr:to>
    <xdr:graphicFrame macro="">
      <xdr:nvGraphicFramePr>
        <xdr:cNvPr id="13" name="Chart 12">
          <a:extLst>
            <a:ext uri="{FF2B5EF4-FFF2-40B4-BE49-F238E27FC236}">
              <a16:creationId xmlns:a16="http://schemas.microsoft.com/office/drawing/2014/main" id="{9C83328F-3963-4243-A298-820586219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802124</xdr:colOff>
      <xdr:row>3</xdr:row>
      <xdr:rowOff>136769</xdr:rowOff>
    </xdr:from>
    <xdr:to>
      <xdr:col>9</xdr:col>
      <xdr:colOff>502826</xdr:colOff>
      <xdr:row>21</xdr:row>
      <xdr:rowOff>186354</xdr:rowOff>
    </xdr:to>
    <xdr:graphicFrame macro="">
      <xdr:nvGraphicFramePr>
        <xdr:cNvPr id="2" name="Chart 1">
          <a:extLst>
            <a:ext uri="{FF2B5EF4-FFF2-40B4-BE49-F238E27FC236}">
              <a16:creationId xmlns:a16="http://schemas.microsoft.com/office/drawing/2014/main" id="{8881E35E-1C31-D25A-B11C-8CE31A4E1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896402</xdr:colOff>
      <xdr:row>23</xdr:row>
      <xdr:rowOff>896</xdr:rowOff>
    </xdr:from>
    <xdr:to>
      <xdr:col>5</xdr:col>
      <xdr:colOff>1228747</xdr:colOff>
      <xdr:row>30</xdr:row>
      <xdr:rowOff>191280</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FB77F751-707B-01F9-7ADA-7B1A4C36848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404204" y="4815731"/>
              <a:ext cx="1853553" cy="1655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351366</xdr:colOff>
      <xdr:row>14</xdr:row>
      <xdr:rowOff>160866</xdr:rowOff>
    </xdr:from>
    <xdr:to>
      <xdr:col>16</xdr:col>
      <xdr:colOff>690033</xdr:colOff>
      <xdr:row>35</xdr:row>
      <xdr:rowOff>21166</xdr:rowOff>
    </xdr:to>
    <xdr:graphicFrame macro="">
      <xdr:nvGraphicFramePr>
        <xdr:cNvPr id="5" name="Chart 4">
          <a:extLst>
            <a:ext uri="{FF2B5EF4-FFF2-40B4-BE49-F238E27FC236}">
              <a16:creationId xmlns:a16="http://schemas.microsoft.com/office/drawing/2014/main" id="{77AAAC12-586C-8DD9-0A28-5F9CED4ADA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17</xdr:col>
      <xdr:colOff>817033</xdr:colOff>
      <xdr:row>15</xdr:row>
      <xdr:rowOff>8467</xdr:rowOff>
    </xdr:from>
    <xdr:to>
      <xdr:col>19</xdr:col>
      <xdr:colOff>783167</xdr:colOff>
      <xdr:row>23</xdr:row>
      <xdr:rowOff>50800</xdr:rowOff>
    </xdr:to>
    <mc:AlternateContent xmlns:mc="http://schemas.openxmlformats.org/markup-compatibility/2006">
      <mc:Choice xmlns:sle15="http://schemas.microsoft.com/office/drawing/2012/slicer" Requires="sle15">
        <xdr:graphicFrame macro="">
          <xdr:nvGraphicFramePr>
            <xdr:cNvPr id="2" name="Category 3">
              <a:extLst>
                <a:ext uri="{FF2B5EF4-FFF2-40B4-BE49-F238E27FC236}">
                  <a16:creationId xmlns:a16="http://schemas.microsoft.com/office/drawing/2014/main" id="{BD49B3CD-51F8-5598-7632-536FCE323B89}"/>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8427700" y="3056467"/>
              <a:ext cx="1828800" cy="166793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9</xdr:col>
      <xdr:colOff>567266</xdr:colOff>
      <xdr:row>38</xdr:row>
      <xdr:rowOff>135468</xdr:rowOff>
    </xdr:from>
    <xdr:to>
      <xdr:col>16</xdr:col>
      <xdr:colOff>660400</xdr:colOff>
      <xdr:row>54</xdr:row>
      <xdr:rowOff>118534</xdr:rowOff>
    </xdr:to>
    <xdr:graphicFrame macro="">
      <xdr:nvGraphicFramePr>
        <xdr:cNvPr id="3" name="Chart 2">
          <a:extLst>
            <a:ext uri="{FF2B5EF4-FFF2-40B4-BE49-F238E27FC236}">
              <a16:creationId xmlns:a16="http://schemas.microsoft.com/office/drawing/2014/main" id="{28953FB1-1D1E-C884-84F3-9F151B4DE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787400</xdr:colOff>
      <xdr:row>21</xdr:row>
      <xdr:rowOff>76200</xdr:rowOff>
    </xdr:from>
    <xdr:to>
      <xdr:col>7</xdr:col>
      <xdr:colOff>469900</xdr:colOff>
      <xdr:row>34</xdr:row>
      <xdr:rowOff>53972</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65714B1D-A428-1127-3E1E-E8CE1873DC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921500" y="4343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647700</xdr:colOff>
      <xdr:row>3</xdr:row>
      <xdr:rowOff>88900</xdr:rowOff>
    </xdr:from>
    <xdr:to>
      <xdr:col>11</xdr:col>
      <xdr:colOff>800100</xdr:colOff>
      <xdr:row>20</xdr:row>
      <xdr:rowOff>0</xdr:rowOff>
    </xdr:to>
    <xdr:graphicFrame macro="">
      <xdr:nvGraphicFramePr>
        <xdr:cNvPr id="4" name="Chart 3">
          <a:extLst>
            <a:ext uri="{FF2B5EF4-FFF2-40B4-BE49-F238E27FC236}">
              <a16:creationId xmlns:a16="http://schemas.microsoft.com/office/drawing/2014/main" id="{F93A7DFC-FA69-6484-DB07-79C51468B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57.61177708333" createdVersion="8" refreshedVersion="8" minRefreshableVersion="3" recordCount="108" xr:uid="{46991E8E-59C2-124B-980C-53EE611D1472}">
  <cacheSource type="worksheet">
    <worksheetSource ref="A1:Q109" sheet="forecast"/>
  </cacheSource>
  <cacheFields count="20">
    <cacheField name="Date" numFmtId="14">
      <sharedItems containsSemiMixedTypes="0" containsNonDate="0" containsDate="1" containsString="0" minDate="2022-01-01T00:00:00" maxDate="2024-12-02T00:00:00" count="36">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fieldGroup par="19"/>
    </cacheField>
    <cacheField name="Category" numFmtId="0">
      <sharedItems count="3">
        <s v="Electronics"/>
        <s v="Basics"/>
        <s v="Office"/>
      </sharedItems>
    </cacheField>
    <cacheField name="Forecast" numFmtId="0">
      <sharedItems containsString="0" containsBlank="1" containsNumber="1" containsInteger="1" minValue="500" maxValue="3700"/>
    </cacheField>
    <cacheField name="Actual" numFmtId="0">
      <sharedItems containsString="0" containsBlank="1" containsNumber="1" containsInteger="1" minValue="450" maxValue="3900"/>
    </cacheField>
    <cacheField name="Lead Time" numFmtId="0">
      <sharedItems containsString="0" containsBlank="1" containsNumber="1" containsInteger="1" minValue="7" maxValue="30"/>
    </cacheField>
    <cacheField name="Start Inv" numFmtId="0">
      <sharedItems containsSemiMixedTypes="0" containsString="0" containsNumber="1" minValue="0" maxValue="4282.8361019217855"/>
    </cacheField>
    <cacheField name="Planned Prod" numFmtId="0">
      <sharedItems containsSemiMixedTypes="0" containsString="0" containsNumber="1" minValue="0" maxValue="4000"/>
    </cacheField>
    <cacheField name="End Inv" numFmtId="0">
      <sharedItems containsSemiMixedTypes="0" containsString="0" containsNumber="1" minValue="830.46245656905251" maxValue="4305.3843501588381"/>
    </cacheField>
    <cacheField name="Logic/Driver" numFmtId="0">
      <sharedItems containsBlank="1"/>
    </cacheField>
    <cacheField name="Forecast_2024" numFmtId="0">
      <sharedItems containsString="0" containsBlank="1" containsNumber="1" minValue="830.46245656905251" maxValue="4305.3843501588381"/>
    </cacheField>
    <cacheField name="Index by Year" numFmtId="2">
      <sharedItems containsString="0" containsBlank="1" containsNumber="1" minValue="0.51063829787234039" maxValue="1.9622641509433962"/>
    </cacheField>
    <cacheField name="Seasonal Index" numFmtId="0">
      <sharedItems containsString="0" containsBlank="1" containsNumber="1" minValue="0.55407433565816189" maxValue="1.9000509943906172"/>
    </cacheField>
    <cacheField name="Forecast_index" numFmtId="0">
      <sharedItems containsString="0" containsBlank="1" containsNumber="1" minValue="807.98469387755119" maxValue="4057.0261139517897"/>
    </cacheField>
    <cacheField name="Volatility" numFmtId="9">
      <sharedItems containsString="0" containsBlank="1" containsNumber="1" minValue="-0.10344827586206896" maxValue="1.5862068965517242"/>
    </cacheField>
    <cacheField name="High Demand" numFmtId="0">
      <sharedItems containsString="0" containsBlank="1" containsNumber="1" minValue="1273.2892709352902" maxValue="6393.3981199673217"/>
    </cacheField>
    <cacheField name="Low Demand" numFmtId="0">
      <sharedItems containsString="0" containsBlank="1" containsNumber="1" minValue="342.68011681981221" maxValue="1720.6541079362578"/>
    </cacheField>
    <cacheField name="The Gap" numFmtId="0">
      <sharedItems containsString="0" containsBlank="1" containsNumber="1" minValue="930.60915411547808" maxValue="4672.7440120310639"/>
    </cacheField>
    <cacheField name="Months (Date)" numFmtId="0" databaseField="0">
      <fieldGroup base="0">
        <rangePr groupBy="months" startDate="2022-01-01T00:00:00" endDate="2024-12-02T00:00:00"/>
        <groupItems count="14">
          <s v="&lt;2022-01-01"/>
          <s v="Jan"/>
          <s v="Feb"/>
          <s v="Mar"/>
          <s v="Apr"/>
          <s v="May"/>
          <s v="Jun"/>
          <s v="Jul"/>
          <s v="Aug"/>
          <s v="Sep"/>
          <s v="Oct"/>
          <s v="Nov"/>
          <s v="Dec"/>
          <s v="&gt;2024-12-02"/>
        </groupItems>
      </fieldGroup>
    </cacheField>
    <cacheField name="Quarters (Date)" numFmtId="0" databaseField="0">
      <fieldGroup base="0">
        <rangePr groupBy="quarters" startDate="2022-01-01T00:00:00" endDate="2024-12-02T00:00:00"/>
        <groupItems count="6">
          <s v="&lt;2022-01-01"/>
          <s v="Qtr1"/>
          <s v="Qtr2"/>
          <s v="Qtr3"/>
          <s v="Qtr4"/>
          <s v="&gt;2024-12-02"/>
        </groupItems>
      </fieldGroup>
    </cacheField>
    <cacheField name="Years (Date)" numFmtId="0" databaseField="0">
      <fieldGroup base="0">
        <rangePr groupBy="years" startDate="2022-01-01T00:00:00" endDate="2024-12-02T00:00:00"/>
        <groupItems count="5">
          <s v="&lt;2022-01-01"/>
          <s v="2022"/>
          <s v="2023"/>
          <s v="2024"/>
          <s v="&gt;2024-12-02"/>
        </groupItems>
      </fieldGroup>
    </cacheField>
  </cacheFields>
  <extLst>
    <ext xmlns:x14="http://schemas.microsoft.com/office/spreadsheetml/2009/9/main" uri="{725AE2AE-9491-48be-B2B4-4EB974FC3084}">
      <x14:pivotCacheDefinition pivotCacheId="1548287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n v="1200"/>
    <n v="1150"/>
    <n v="14"/>
    <n v="2000"/>
    <n v="1250"/>
    <n v="2100"/>
    <s v="Policy-based"/>
    <m/>
    <n v="0.6216216216216216"/>
    <m/>
    <m/>
    <n v="-4.1666666666666664E-2"/>
    <m/>
    <m/>
    <m/>
  </r>
  <r>
    <x v="1"/>
    <x v="0"/>
    <n v="1150"/>
    <n v="1250"/>
    <n v="14"/>
    <n v="2100"/>
    <n v="1200"/>
    <n v="2050"/>
    <s v="Policy-based"/>
    <m/>
    <n v="0.67567567567567566"/>
    <m/>
    <m/>
    <n v="8.6956521739130432E-2"/>
    <m/>
    <m/>
    <m/>
  </r>
  <r>
    <x v="2"/>
    <x v="0"/>
    <n v="1300"/>
    <n v="1400"/>
    <n v="15"/>
    <n v="2050"/>
    <n v="1350"/>
    <n v="2000"/>
    <s v="Buffer Build"/>
    <m/>
    <n v="0.7567567567567568"/>
    <m/>
    <m/>
    <n v="7.6923076923076927E-2"/>
    <m/>
    <m/>
    <m/>
  </r>
  <r>
    <x v="3"/>
    <x v="0"/>
    <n v="1250"/>
    <n v="1600"/>
    <n v="14"/>
    <n v="2000"/>
    <n v="1300"/>
    <n v="1700"/>
    <s v="Supply Lag"/>
    <m/>
    <n v="0.86486486486486491"/>
    <m/>
    <m/>
    <n v="0.28000000000000003"/>
    <m/>
    <m/>
    <m/>
  </r>
  <r>
    <x v="4"/>
    <x v="0"/>
    <n v="1400"/>
    <n v="1900"/>
    <n v="16"/>
    <n v="1700"/>
    <n v="1450"/>
    <n v="1250"/>
    <s v="High Sales"/>
    <m/>
    <n v="1.027027027027027"/>
    <m/>
    <m/>
    <n v="0.35714285714285715"/>
    <m/>
    <m/>
    <m/>
  </r>
  <r>
    <x v="5"/>
    <x v="0"/>
    <n v="1600"/>
    <n v="1800"/>
    <n v="14"/>
    <n v="1250"/>
    <n v="2100"/>
    <n v="1550"/>
    <s v="Recovery"/>
    <m/>
    <n v="0.97297297297297303"/>
    <m/>
    <m/>
    <n v="0.125"/>
    <m/>
    <m/>
    <m/>
  </r>
  <r>
    <x v="6"/>
    <x v="0"/>
    <n v="1900"/>
    <n v="1850"/>
    <n v="18"/>
    <n v="1550"/>
    <n v="1950"/>
    <n v="1650"/>
    <s v="Refilling"/>
    <m/>
    <n v="1"/>
    <m/>
    <m/>
    <n v="-2.6315789473684209E-2"/>
    <m/>
    <m/>
    <m/>
  </r>
  <r>
    <x v="7"/>
    <x v="0"/>
    <n v="1500"/>
    <n v="1400"/>
    <n v="14"/>
    <n v="1650"/>
    <n v="1550"/>
    <n v="1800"/>
    <s v="Stabilizing"/>
    <m/>
    <n v="0.7567567567567568"/>
    <m/>
    <m/>
    <n v="-6.6666666666666666E-2"/>
    <m/>
    <m/>
    <m/>
  </r>
  <r>
    <x v="8"/>
    <x v="0"/>
    <n v="1450"/>
    <n v="1400"/>
    <n v="14"/>
    <n v="1800"/>
    <n v="1500"/>
    <n v="1900"/>
    <s v="Holding"/>
    <m/>
    <n v="0.7567567567567568"/>
    <m/>
    <m/>
    <n v="-3.4482758620689655E-2"/>
    <m/>
    <m/>
    <m/>
  </r>
  <r>
    <x v="9"/>
    <x v="0"/>
    <n v="1800"/>
    <n v="1950"/>
    <n v="15"/>
    <n v="1900"/>
    <n v="1900"/>
    <n v="1850"/>
    <s v="Pre-Holiday"/>
    <m/>
    <n v="1.0540540540540539"/>
    <m/>
    <m/>
    <n v="8.3333333333333329E-2"/>
    <m/>
    <m/>
    <m/>
  </r>
  <r>
    <x v="10"/>
    <x v="0"/>
    <n v="2800"/>
    <n v="3100"/>
    <n v="22"/>
    <n v="1850"/>
    <n v="3200"/>
    <n v="1950"/>
    <s v="Black Friday"/>
    <m/>
    <n v="1.6756756756756757"/>
    <m/>
    <m/>
    <n v="0.10714285714285714"/>
    <m/>
    <m/>
    <m/>
  </r>
  <r>
    <x v="11"/>
    <x v="0"/>
    <n v="3500"/>
    <n v="3400"/>
    <n v="25"/>
    <n v="1950"/>
    <n v="3500"/>
    <n v="2050"/>
    <s v="Holiday Peak"/>
    <m/>
    <n v="1.8378378378378379"/>
    <m/>
    <m/>
    <n v="-2.8571428571428571E-2"/>
    <m/>
    <m/>
    <m/>
  </r>
  <r>
    <x v="12"/>
    <x v="0"/>
    <n v="1300"/>
    <n v="1200"/>
    <n v="14"/>
    <n v="2050"/>
    <n v="1400"/>
    <n v="2250"/>
    <s v="Inv Correction"/>
    <m/>
    <n v="0.60377358490566035"/>
    <m/>
    <m/>
    <n v="-7.6923076923076927E-2"/>
    <m/>
    <m/>
    <m/>
  </r>
  <r>
    <x v="13"/>
    <x v="0"/>
    <n v="1200"/>
    <n v="1100"/>
    <n v="14"/>
    <n v="2250"/>
    <n v="1250"/>
    <n v="2400"/>
    <s v="Policy-based"/>
    <m/>
    <n v="0.55345911949685533"/>
    <m/>
    <m/>
    <n v="-8.3333333333333329E-2"/>
    <m/>
    <m/>
    <m/>
  </r>
  <r>
    <x v="14"/>
    <x v="0"/>
    <n v="1450"/>
    <n v="1300"/>
    <n v="15"/>
    <n v="2400"/>
    <n v="1500"/>
    <n v="2600"/>
    <s v="Buffer Build"/>
    <m/>
    <n v="0.65408805031446537"/>
    <m/>
    <m/>
    <n v="-0.10344827586206896"/>
    <m/>
    <m/>
    <m/>
  </r>
  <r>
    <x v="15"/>
    <x v="0"/>
    <n v="1350"/>
    <n v="1450"/>
    <n v="14"/>
    <n v="2600"/>
    <n v="1400"/>
    <n v="2550"/>
    <s v="Minor Drift"/>
    <m/>
    <n v="0.72955974842767291"/>
    <m/>
    <m/>
    <n v="7.407407407407407E-2"/>
    <m/>
    <m/>
    <m/>
  </r>
  <r>
    <x v="16"/>
    <x v="0"/>
    <n v="1500"/>
    <n v="1800"/>
    <n v="16"/>
    <n v="2550"/>
    <n v="1600"/>
    <n v="2350"/>
    <s v="Forecast Gap"/>
    <m/>
    <n v="0.90566037735849059"/>
    <m/>
    <m/>
    <n v="0.2"/>
    <m/>
    <m/>
    <m/>
  </r>
  <r>
    <x v="17"/>
    <x v="0"/>
    <n v="1700"/>
    <n v="2000"/>
    <n v="14"/>
    <n v="2350"/>
    <n v="2500"/>
    <n v="2850"/>
    <s v="Recovery"/>
    <m/>
    <n v="1.0062893081761006"/>
    <m/>
    <m/>
    <n v="0.17647058823529413"/>
    <m/>
    <m/>
    <m/>
  </r>
  <r>
    <x v="18"/>
    <x v="0"/>
    <n v="2000"/>
    <n v="1900"/>
    <n v="18"/>
    <n v="2850"/>
    <n v="2050"/>
    <n v="3000"/>
    <s v="Policy-based"/>
    <m/>
    <n v="0.95597484276729561"/>
    <m/>
    <m/>
    <n v="-0.05"/>
    <m/>
    <m/>
    <m/>
  </r>
  <r>
    <x v="19"/>
    <x v="0"/>
    <n v="1600"/>
    <n v="1500"/>
    <n v="14"/>
    <n v="3000"/>
    <n v="1650"/>
    <n v="3150"/>
    <s v="Cooling"/>
    <m/>
    <n v="0.75471698113207553"/>
    <m/>
    <m/>
    <n v="-6.25E-2"/>
    <m/>
    <m/>
    <m/>
  </r>
  <r>
    <x v="20"/>
    <x v="0"/>
    <n v="1550"/>
    <n v="1500"/>
    <n v="14"/>
    <n v="3150"/>
    <n v="1600"/>
    <n v="3250"/>
    <s v="Quiet"/>
    <m/>
    <n v="0.75471698113207553"/>
    <m/>
    <m/>
    <n v="-3.2258064516129031E-2"/>
    <m/>
    <m/>
    <m/>
  </r>
  <r>
    <x v="21"/>
    <x v="0"/>
    <n v="1900"/>
    <n v="2400"/>
    <n v="15"/>
    <n v="3250"/>
    <n v="2500"/>
    <n v="3350"/>
    <s v="Tech Launch"/>
    <m/>
    <n v="1.2075471698113207"/>
    <m/>
    <m/>
    <n v="0.26315789473684209"/>
    <m/>
    <m/>
    <m/>
  </r>
  <r>
    <x v="22"/>
    <x v="0"/>
    <n v="3000"/>
    <n v="3800"/>
    <n v="22"/>
    <n v="3350"/>
    <n v="4000"/>
    <n v="3550"/>
    <s v="Peak Demand"/>
    <m/>
    <n v="1.9119496855345912"/>
    <m/>
    <m/>
    <n v="0.26666666666666666"/>
    <m/>
    <m/>
    <m/>
  </r>
  <r>
    <x v="23"/>
    <x v="0"/>
    <n v="3700"/>
    <n v="3900"/>
    <n v="25"/>
    <n v="3550"/>
    <n v="3800"/>
    <n v="3450"/>
    <s v="Peak Fulfilled"/>
    <m/>
    <n v="1.9622641509433962"/>
    <m/>
    <m/>
    <n v="5.4054054054054057E-2"/>
    <m/>
    <m/>
    <m/>
  </r>
  <r>
    <x v="0"/>
    <x v="1"/>
    <n v="2000"/>
    <n v="2100"/>
    <n v="7"/>
    <n v="1500"/>
    <n v="2100"/>
    <n v="1500"/>
    <s v="Forecast-match"/>
    <m/>
    <n v="1.045643153526971"/>
    <m/>
    <m/>
    <n v="0.05"/>
    <m/>
    <m/>
    <m/>
  </r>
  <r>
    <x v="1"/>
    <x v="1"/>
    <n v="2100"/>
    <n v="2050"/>
    <n v="7"/>
    <n v="1500"/>
    <n v="2150"/>
    <n v="1600"/>
    <s v="Stable"/>
    <m/>
    <n v="1.0207468879668051"/>
    <m/>
    <m/>
    <n v="-2.3809523809523808E-2"/>
    <m/>
    <m/>
    <m/>
  </r>
  <r>
    <x v="2"/>
    <x v="1"/>
    <n v="1950"/>
    <n v="2200"/>
    <n v="8"/>
    <n v="1600"/>
    <n v="2000"/>
    <n v="1400"/>
    <s v="Demand Surge"/>
    <m/>
    <n v="1.095435684647303"/>
    <m/>
    <m/>
    <n v="0.12820512820512819"/>
    <m/>
    <m/>
    <m/>
  </r>
  <r>
    <x v="3"/>
    <x v="1"/>
    <n v="2050"/>
    <n v="2100"/>
    <n v="7"/>
    <n v="1400"/>
    <n v="2100"/>
    <n v="1400"/>
    <s v="Forecast-match"/>
    <m/>
    <n v="1.045643153526971"/>
    <m/>
    <m/>
    <n v="2.4390243902439025E-2"/>
    <m/>
    <m/>
    <m/>
  </r>
  <r>
    <x v="4"/>
    <x v="1"/>
    <n v="2000"/>
    <n v="2000"/>
    <n v="7"/>
    <n v="1400"/>
    <n v="2050"/>
    <n v="1450"/>
    <s v="Policy-based"/>
    <m/>
    <n v="0.99585062240663902"/>
    <m/>
    <m/>
    <n v="0"/>
    <m/>
    <m/>
    <m/>
  </r>
  <r>
    <x v="5"/>
    <x v="1"/>
    <n v="500"/>
    <n v="1200"/>
    <n v="25"/>
    <n v="1450"/>
    <n v="600"/>
    <n v="850"/>
    <s v="Forecast Error"/>
    <m/>
    <n v="0.59751037344398339"/>
    <m/>
    <m/>
    <n v="1.4"/>
    <m/>
    <m/>
    <m/>
  </r>
  <r>
    <x v="6"/>
    <x v="1"/>
    <n v="2050"/>
    <n v="2100"/>
    <n v="7"/>
    <n v="850"/>
    <n v="2300"/>
    <n v="1050"/>
    <s v="Chasing Demand"/>
    <m/>
    <n v="1.045643153526971"/>
    <m/>
    <m/>
    <n v="2.4390243902439025E-2"/>
    <m/>
    <m/>
    <m/>
  </r>
  <r>
    <x v="7"/>
    <x v="1"/>
    <n v="2100"/>
    <n v="2150"/>
    <n v="7"/>
    <n v="1050"/>
    <n v="2150"/>
    <n v="1050"/>
    <s v="Tight Inv"/>
    <m/>
    <n v="1.0705394190871369"/>
    <m/>
    <m/>
    <n v="2.3809523809523808E-2"/>
    <m/>
    <m/>
    <m/>
  </r>
  <r>
    <x v="8"/>
    <x v="1"/>
    <n v="1980"/>
    <n v="1900"/>
    <n v="7"/>
    <n v="1050"/>
    <n v="2000"/>
    <n v="1150"/>
    <s v="Holding"/>
    <m/>
    <n v="0.94605809128630713"/>
    <m/>
    <m/>
    <n v="-4.0404040404040407E-2"/>
    <m/>
    <m/>
    <m/>
  </r>
  <r>
    <x v="9"/>
    <x v="1"/>
    <n v="2020"/>
    <n v="2050"/>
    <n v="7"/>
    <n v="1150"/>
    <n v="2050"/>
    <n v="1150"/>
    <s v="High Turnover"/>
    <m/>
    <n v="1.0207468879668051"/>
    <m/>
    <m/>
    <n v="1.4851485148514851E-2"/>
    <m/>
    <m/>
    <m/>
  </r>
  <r>
    <x v="10"/>
    <x v="1"/>
    <n v="2050"/>
    <n v="2100"/>
    <n v="7"/>
    <n v="1150"/>
    <n v="2100"/>
    <n v="1150"/>
    <s v="Steady"/>
    <m/>
    <n v="1.045643153526971"/>
    <m/>
    <m/>
    <n v="2.4390243902439025E-2"/>
    <m/>
    <m/>
    <m/>
  </r>
  <r>
    <x v="11"/>
    <x v="1"/>
    <n v="2100"/>
    <n v="2150"/>
    <n v="7"/>
    <n v="1150"/>
    <n v="2150"/>
    <n v="1150"/>
    <s v="Year-End"/>
    <m/>
    <n v="1.0705394190871369"/>
    <m/>
    <m/>
    <n v="2.3809523809523808E-2"/>
    <m/>
    <m/>
    <m/>
  </r>
  <r>
    <x v="12"/>
    <x v="1"/>
    <n v="2000"/>
    <n v="2100"/>
    <n v="7"/>
    <n v="1150"/>
    <n v="2100"/>
    <n v="1150"/>
    <s v="High Demand"/>
    <m/>
    <n v="0.8936170212765957"/>
    <m/>
    <m/>
    <n v="0.05"/>
    <m/>
    <m/>
    <m/>
  </r>
  <r>
    <x v="13"/>
    <x v="1"/>
    <n v="2150"/>
    <n v="2200"/>
    <n v="7"/>
    <n v="1150"/>
    <n v="2200"/>
    <n v="1150"/>
    <s v="Steady Flow"/>
    <m/>
    <n v="0.93617021276595747"/>
    <m/>
    <m/>
    <n v="2.3255813953488372E-2"/>
    <m/>
    <m/>
    <m/>
  </r>
  <r>
    <x v="14"/>
    <x v="1"/>
    <n v="2000"/>
    <n v="2500"/>
    <n v="8"/>
    <n v="1150"/>
    <n v="2400"/>
    <n v="1050"/>
    <s v="Surge"/>
    <m/>
    <n v="1.0638297872340425"/>
    <m/>
    <m/>
    <n v="0.25"/>
    <m/>
    <m/>
    <m/>
  </r>
  <r>
    <x v="15"/>
    <x v="1"/>
    <n v="2100"/>
    <n v="2450"/>
    <n v="7"/>
    <n v="1050"/>
    <n v="2500"/>
    <n v="1100"/>
    <s v="High Sales"/>
    <m/>
    <n v="1.0425531914893618"/>
    <m/>
    <m/>
    <n v="0.16666666666666666"/>
    <m/>
    <m/>
    <m/>
  </r>
  <r>
    <x v="16"/>
    <x v="1"/>
    <n v="2050"/>
    <n v="2300"/>
    <n v="7"/>
    <n v="1100"/>
    <n v="2400"/>
    <n v="1200"/>
    <s v="High Sales"/>
    <m/>
    <n v="0.97872340425531912"/>
    <m/>
    <m/>
    <n v="0.12195121951219512"/>
    <m/>
    <m/>
    <m/>
  </r>
  <r>
    <x v="17"/>
    <x v="1"/>
    <n v="550"/>
    <n v="1200"/>
    <n v="25"/>
    <n v="1200"/>
    <n v="1500"/>
    <n v="1500"/>
    <s v="Large Error"/>
    <m/>
    <n v="0.51063829787234039"/>
    <m/>
    <m/>
    <n v="1.1818181818181819"/>
    <m/>
    <m/>
    <m/>
  </r>
  <r>
    <x v="18"/>
    <x v="1"/>
    <n v="2100"/>
    <n v="2400"/>
    <n v="7"/>
    <n v="1500"/>
    <n v="2500"/>
    <n v="1600"/>
    <s v="Refilling"/>
    <m/>
    <n v="1.0212765957446808"/>
    <m/>
    <m/>
    <n v="0.14285714285714285"/>
    <m/>
    <m/>
    <m/>
  </r>
  <r>
    <x v="19"/>
    <x v="1"/>
    <n v="2150"/>
    <n v="2600"/>
    <n v="7"/>
    <n v="1600"/>
    <n v="2200"/>
    <n v="1200"/>
    <s v="High Peak"/>
    <m/>
    <n v="1.1063829787234043"/>
    <m/>
    <m/>
    <n v="0.20930232558139536"/>
    <m/>
    <m/>
    <m/>
  </r>
  <r>
    <x v="20"/>
    <x v="1"/>
    <n v="2000"/>
    <n v="2350"/>
    <n v="7"/>
    <n v="1200"/>
    <n v="2400"/>
    <n v="1250"/>
    <s v="Stable"/>
    <m/>
    <n v="1"/>
    <m/>
    <m/>
    <n v="0.17499999999999999"/>
    <m/>
    <m/>
    <m/>
  </r>
  <r>
    <x v="21"/>
    <x v="1"/>
    <n v="2050"/>
    <n v="2500"/>
    <n v="7"/>
    <n v="1250"/>
    <n v="2600"/>
    <n v="1350"/>
    <s v="High Sales"/>
    <m/>
    <n v="1.0638297872340425"/>
    <m/>
    <m/>
    <n v="0.21951219512195122"/>
    <m/>
    <m/>
    <m/>
  </r>
  <r>
    <x v="22"/>
    <x v="1"/>
    <n v="2100"/>
    <n v="2700"/>
    <n v="7"/>
    <n v="1350"/>
    <n v="2800"/>
    <n v="1450"/>
    <s v="Holiday Demand"/>
    <m/>
    <n v="1.1489361702127661"/>
    <m/>
    <m/>
    <n v="0.2857142857142857"/>
    <m/>
    <m/>
    <m/>
  </r>
  <r>
    <x v="23"/>
    <x v="1"/>
    <n v="2150"/>
    <n v="2900"/>
    <n v="7"/>
    <n v="1450"/>
    <n v="2900"/>
    <n v="1450"/>
    <s v="Year-End"/>
    <m/>
    <n v="1.2340425531914894"/>
    <m/>
    <m/>
    <n v="0.34883720930232559"/>
    <m/>
    <m/>
    <m/>
  </r>
  <r>
    <x v="0"/>
    <x v="2"/>
    <n v="500"/>
    <n v="450"/>
    <n v="30"/>
    <n v="800"/>
    <n v="550"/>
    <n v="900"/>
    <s v="Safety Stock"/>
    <m/>
    <n v="0.70129870129870131"/>
    <m/>
    <m/>
    <n v="-0.1"/>
    <m/>
    <m/>
    <m/>
  </r>
  <r>
    <x v="1"/>
    <x v="2"/>
    <n v="520"/>
    <n v="500"/>
    <n v="30"/>
    <n v="900"/>
    <n v="550"/>
    <n v="950"/>
    <s v="Stable"/>
    <m/>
    <n v="0.77922077922077926"/>
    <m/>
    <m/>
    <n v="-3.8461538461538464E-2"/>
    <m/>
    <m/>
    <m/>
  </r>
  <r>
    <x v="2"/>
    <x v="2"/>
    <n v="510"/>
    <n v="550"/>
    <n v="30"/>
    <n v="950"/>
    <n v="550"/>
    <n v="950"/>
    <s v="Policy-based"/>
    <m/>
    <n v="0.85714285714285721"/>
    <m/>
    <m/>
    <n v="7.8431372549019607E-2"/>
    <m/>
    <m/>
    <m/>
  </r>
  <r>
    <x v="3"/>
    <x v="2"/>
    <n v="900"/>
    <n v="850"/>
    <n v="30"/>
    <n v="950"/>
    <n v="950"/>
    <n v="1050"/>
    <s v="Spring Promo"/>
    <m/>
    <n v="1.3246753246753247"/>
    <m/>
    <m/>
    <n v="-5.5555555555555552E-2"/>
    <m/>
    <m/>
    <m/>
  </r>
  <r>
    <x v="4"/>
    <x v="2"/>
    <n v="530"/>
    <n v="600"/>
    <n v="30"/>
    <n v="1050"/>
    <n v="550"/>
    <n v="1000"/>
    <s v="Promo Hangover"/>
    <m/>
    <n v="0.93506493506493515"/>
    <m/>
    <m/>
    <n v="0.13207547169811321"/>
    <m/>
    <m/>
    <m/>
  </r>
  <r>
    <x v="5"/>
    <x v="2"/>
    <n v="540"/>
    <n v="550"/>
    <n v="30"/>
    <n v="1000"/>
    <n v="550"/>
    <n v="1000"/>
    <s v="Flat"/>
    <m/>
    <n v="0.85714285714285721"/>
    <m/>
    <m/>
    <n v="1.8518518518518517E-2"/>
    <m/>
    <m/>
    <m/>
  </r>
  <r>
    <x v="6"/>
    <x v="2"/>
    <n v="550"/>
    <n v="600"/>
    <n v="30"/>
    <n v="1000"/>
    <n v="600"/>
    <n v="1000"/>
    <s v="Steady"/>
    <m/>
    <n v="0.93506493506493515"/>
    <m/>
    <m/>
    <n v="9.0909090909090912E-2"/>
    <m/>
    <m/>
    <m/>
  </r>
  <r>
    <x v="7"/>
    <x v="2"/>
    <n v="900"/>
    <n v="850"/>
    <n v="30"/>
    <n v="1000"/>
    <n v="900"/>
    <n v="1050"/>
    <s v="Peak (School)"/>
    <m/>
    <n v="1.3246753246753247"/>
    <m/>
    <m/>
    <n v="-5.5555555555555552E-2"/>
    <m/>
    <m/>
    <m/>
  </r>
  <r>
    <x v="8"/>
    <x v="2"/>
    <n v="540"/>
    <n v="500"/>
    <n v="30"/>
    <n v="1050"/>
    <n v="500"/>
    <n v="1050"/>
    <s v="Post-Peak"/>
    <m/>
    <n v="0.77922077922077926"/>
    <m/>
    <m/>
    <n v="-7.407407407407407E-2"/>
    <m/>
    <m/>
    <m/>
  </r>
  <r>
    <x v="9"/>
    <x v="2"/>
    <n v="950"/>
    <n v="1000"/>
    <n v="30"/>
    <n v="1050"/>
    <n v="1000"/>
    <n v="1050"/>
    <s v="Tax Year Spike"/>
    <m/>
    <n v="1.5584415584415585"/>
    <m/>
    <m/>
    <n v="5.2631578947368418E-2"/>
    <m/>
    <m/>
    <m/>
  </r>
  <r>
    <x v="10"/>
    <x v="2"/>
    <n v="580"/>
    <n v="600"/>
    <n v="30"/>
    <n v="1050"/>
    <n v="600"/>
    <n v="1050"/>
    <s v="Steady"/>
    <m/>
    <n v="0.93506493506493515"/>
    <m/>
    <m/>
    <n v="3.4482758620689655E-2"/>
    <m/>
    <m/>
    <m/>
  </r>
  <r>
    <x v="11"/>
    <x v="2"/>
    <n v="590"/>
    <n v="650"/>
    <n v="30"/>
    <n v="1050"/>
    <n v="650"/>
    <n v="1050"/>
    <s v="Steady"/>
    <m/>
    <n v="1.0129870129870131"/>
    <m/>
    <m/>
    <n v="0.10169491525423729"/>
    <m/>
    <m/>
    <m/>
  </r>
  <r>
    <x v="12"/>
    <x v="2"/>
    <n v="520"/>
    <n v="580"/>
    <n v="30"/>
    <n v="1050"/>
    <n v="550"/>
    <n v="1020"/>
    <s v="Post-Holiday"/>
    <m/>
    <n v="0.6660287081339713"/>
    <m/>
    <m/>
    <n v="0.11538461538461539"/>
    <m/>
    <m/>
    <m/>
  </r>
  <r>
    <x v="13"/>
    <x v="2"/>
    <n v="540"/>
    <n v="620"/>
    <n v="30"/>
    <n v="1020"/>
    <n v="550"/>
    <n v="950"/>
    <s v="Stable"/>
    <m/>
    <n v="0.71196172248803824"/>
    <m/>
    <m/>
    <n v="0.14814814814814814"/>
    <m/>
    <m/>
    <m/>
  </r>
  <r>
    <x v="14"/>
    <x v="2"/>
    <n v="530"/>
    <n v="600"/>
    <n v="30"/>
    <n v="950"/>
    <n v="550"/>
    <n v="900"/>
    <s v="Policy-based"/>
    <m/>
    <n v="0.68899521531100472"/>
    <m/>
    <m/>
    <n v="0.13207547169811321"/>
    <m/>
    <m/>
    <m/>
  </r>
  <r>
    <x v="15"/>
    <x v="2"/>
    <n v="920"/>
    <n v="1200"/>
    <n v="30"/>
    <n v="900"/>
    <n v="1200"/>
    <n v="900"/>
    <s v="Spring Peak"/>
    <m/>
    <n v="1.3779904306220094"/>
    <m/>
    <m/>
    <n v="0.30434782608695654"/>
    <m/>
    <m/>
    <m/>
  </r>
  <r>
    <x v="16"/>
    <x v="2"/>
    <n v="550"/>
    <n v="750"/>
    <n v="30"/>
    <n v="900"/>
    <n v="700"/>
    <n v="850"/>
    <s v="Promo Tail"/>
    <m/>
    <n v="0.86124401913875592"/>
    <m/>
    <m/>
    <n v="0.36363636363636365"/>
    <m/>
    <m/>
    <m/>
  </r>
  <r>
    <x v="17"/>
    <x v="2"/>
    <n v="560"/>
    <n v="650"/>
    <n v="30"/>
    <n v="850"/>
    <n v="700"/>
    <n v="900"/>
    <s v="Stable"/>
    <m/>
    <n v="0.74641148325358853"/>
    <m/>
    <m/>
    <n v="0.16071428571428573"/>
    <m/>
    <m/>
    <m/>
  </r>
  <r>
    <x v="18"/>
    <x v="2"/>
    <n v="570"/>
    <n v="800"/>
    <n v="30"/>
    <n v="900"/>
    <n v="800"/>
    <n v="900"/>
    <s v="Steady"/>
    <m/>
    <n v="0.91866028708133962"/>
    <m/>
    <m/>
    <n v="0.40350877192982454"/>
    <m/>
    <m/>
    <m/>
  </r>
  <r>
    <x v="19"/>
    <x v="2"/>
    <n v="580"/>
    <n v="1500"/>
    <n v="30"/>
    <n v="900"/>
    <n v="1500"/>
    <n v="900"/>
    <s v="Back-to-Work"/>
    <m/>
    <n v="1.7224880382775118"/>
    <m/>
    <m/>
    <n v="1.5862068965517242"/>
    <m/>
    <m/>
    <m/>
  </r>
  <r>
    <x v="20"/>
    <x v="2"/>
    <n v="560"/>
    <n v="700"/>
    <n v="30"/>
    <n v="900"/>
    <n v="700"/>
    <n v="900"/>
    <s v="Stable"/>
    <m/>
    <n v="0.80382775119617222"/>
    <m/>
    <m/>
    <n v="0.25"/>
    <m/>
    <m/>
    <m/>
  </r>
  <r>
    <x v="21"/>
    <x v="2"/>
    <n v="980"/>
    <n v="1300"/>
    <n v="30"/>
    <n v="900"/>
    <n v="1300"/>
    <n v="900"/>
    <s v="Year-End Refresh"/>
    <m/>
    <n v="1.4928229665071771"/>
    <m/>
    <m/>
    <n v="0.32653061224489793"/>
    <m/>
    <m/>
    <m/>
  </r>
  <r>
    <x v="22"/>
    <x v="2"/>
    <n v="600"/>
    <n v="850"/>
    <n v="30"/>
    <n v="900"/>
    <n v="850"/>
    <n v="900"/>
    <s v="Holiday Gifting"/>
    <m/>
    <n v="0.97607655502392343"/>
    <m/>
    <m/>
    <n v="0.41666666666666669"/>
    <m/>
    <m/>
    <m/>
  </r>
  <r>
    <x v="23"/>
    <x v="2"/>
    <n v="610"/>
    <n v="900"/>
    <n v="30"/>
    <n v="900"/>
    <n v="900"/>
    <n v="900"/>
    <s v="Year-End"/>
    <m/>
    <n v="1.0334928229665072"/>
    <m/>
    <m/>
    <n v="0.47540983606557374"/>
    <m/>
    <m/>
    <m/>
  </r>
  <r>
    <x v="24"/>
    <x v="0"/>
    <m/>
    <m/>
    <m/>
    <n v="0"/>
    <n v="1440.5291720186515"/>
    <n v="1440.5291720186515"/>
    <m/>
    <n v="1440.5291720186515"/>
    <m/>
    <n v="0.61269760326364098"/>
    <n v="1308.2439280496712"/>
    <m/>
    <n v="2061.6392488300421"/>
    <n v="554.84860726930049"/>
    <n v="1506.7906415607417"/>
  </r>
  <r>
    <x v="25"/>
    <x v="0"/>
    <m/>
    <m/>
    <m/>
    <n v="1440.5291720186515"/>
    <n v="0"/>
    <n v="1440.5291720186515"/>
    <m/>
    <n v="1341.6626117900671"/>
    <m/>
    <n v="0.61456739758626555"/>
    <n v="1312.2363495252009"/>
    <m/>
    <n v="2067.9308376043882"/>
    <n v="556.54186144601363"/>
    <n v="1511.3889761583746"/>
  </r>
  <r>
    <x v="26"/>
    <x v="0"/>
    <m/>
    <m/>
    <m/>
    <n v="1440.5291720186515"/>
    <n v="101.99146302227587"/>
    <n v="1542.5206350409273"/>
    <m/>
    <n v="1542.5206350409273"/>
    <m/>
    <n v="0.70542240353561114"/>
    <n v="1506.2317384952521"/>
    <m/>
    <n v="2373.6448557760232"/>
    <n v="638.81862121448114"/>
    <n v="1734.8262345615422"/>
  </r>
  <r>
    <x v="27"/>
    <x v="0"/>
    <m/>
    <m/>
    <m/>
    <n v="1542.5206350409273"/>
    <n v="150.96699731520675"/>
    <n v="1693.4876323561341"/>
    <m/>
    <n v="1693.4876323561341"/>
    <m/>
    <n v="0.79721230664626885"/>
    <n v="1702.2233382030679"/>
    <m/>
    <n v="2682.5046683348305"/>
    <n v="721.94200807130505"/>
    <n v="1960.5626602635255"/>
  </r>
  <r>
    <x v="28"/>
    <x v="0"/>
    <m/>
    <m/>
    <m/>
    <n v="1693.4876323561341"/>
    <n v="350.86241836612794"/>
    <n v="2044.350050722262"/>
    <m/>
    <n v="2044.350050722262"/>
    <m/>
    <n v="0.96634370219275878"/>
    <n v="2063.3560080350621"/>
    <m/>
    <n v="3251.6074711052265"/>
    <n v="875.10454496489751"/>
    <n v="2376.5029261403288"/>
  </r>
  <r>
    <x v="29"/>
    <x v="0"/>
    <m/>
    <m/>
    <m/>
    <n v="2044.350050722262"/>
    <n v="169.43369036560489"/>
    <n v="2213.7837410878669"/>
    <m/>
    <n v="2213.7837410878669"/>
    <m/>
    <n v="0.98963114057453683"/>
    <n v="2113.0798027757487"/>
    <m/>
    <n v="3329.9663494766278"/>
    <n v="896.19325607486951"/>
    <n v="2433.7730934017582"/>
  </r>
  <r>
    <x v="30"/>
    <x v="0"/>
    <m/>
    <m/>
    <m/>
    <n v="2213.7837410878669"/>
    <n v="0"/>
    <n v="2213.7837410878669"/>
    <m/>
    <n v="2187.9166084969243"/>
    <m/>
    <n v="0.9779874213836478"/>
    <n v="2088.2179054054054"/>
    <m/>
    <n v="3290.7869102909272"/>
    <n v="885.64890051988357"/>
    <n v="2405.1380097710435"/>
  </r>
  <r>
    <x v="31"/>
    <x v="0"/>
    <m/>
    <m/>
    <m/>
    <n v="2213.7837410878669"/>
    <n v="0"/>
    <n v="2213.7837410878669"/>
    <m/>
    <n v="1757.8882712799386"/>
    <m/>
    <n v="0.75573686894441616"/>
    <n v="1613.6641709276846"/>
    <m/>
    <n v="2542.9457900675179"/>
    <n v="684.3825517878513"/>
    <n v="1858.5632382796666"/>
  </r>
  <r>
    <x v="32"/>
    <x v="0"/>
    <m/>
    <m/>
    <m/>
    <n v="2213.7837410878669"/>
    <n v="0"/>
    <n v="2213.7837410878669"/>
    <m/>
    <n v="1753.895794074841"/>
    <m/>
    <n v="0.75573686894441616"/>
    <n v="1613.6641709276846"/>
    <m/>
    <n v="2542.9457900675179"/>
    <n v="684.3825517878513"/>
    <n v="1858.5632382796666"/>
  </r>
  <r>
    <x v="33"/>
    <x v="0"/>
    <m/>
    <m/>
    <m/>
    <n v="2213.7837410878669"/>
    <n v="260.07717730921604"/>
    <n v="2473.860918397083"/>
    <m/>
    <n v="2473.860918397083"/>
    <m/>
    <n v="1.1308006119326874"/>
    <n v="2414.5076241782322"/>
    <m/>
    <n v="3804.981301939757"/>
    <n v="1024.0339464167073"/>
    <n v="2780.9473555230497"/>
  </r>
  <r>
    <x v="34"/>
    <x v="0"/>
    <m/>
    <m/>
    <m/>
    <n v="2473.860918397083"/>
    <n v="1271.0017156519207"/>
    <n v="3744.8626340490036"/>
    <m/>
    <n v="3744.8626340490036"/>
    <m/>
    <n v="1.7938126806051335"/>
    <n v="3830.1839846603361"/>
    <m/>
    <n v="6035.9214850612943"/>
    <n v="1624.4464842593779"/>
    <n v="4411.4750008019164"/>
  </r>
  <r>
    <x v="35"/>
    <x v="0"/>
    <m/>
    <m/>
    <m/>
    <n v="3744.8626340490036"/>
    <n v="43.700066052722377"/>
    <n v="3788.562700101726"/>
    <m/>
    <n v="3788.562700101726"/>
    <m/>
    <n v="1.9000509943906172"/>
    <n v="4057.0261139517897"/>
    <m/>
    <n v="6393.3981199673217"/>
    <n v="1720.6541079362578"/>
    <n v="4672.7440120310639"/>
  </r>
  <r>
    <x v="24"/>
    <x v="1"/>
    <m/>
    <m/>
    <m/>
    <n v="0"/>
    <n v="2938.0355872183568"/>
    <n v="2938.0355872183568"/>
    <m/>
    <n v="2938.0355872183568"/>
    <m/>
    <n v="0.96963008740178336"/>
    <n v="2666.2815722869786"/>
    <m/>
    <n v="4201.7475640448029"/>
    <n v="1130.8155805291547"/>
    <n v="3070.9319835156484"/>
  </r>
  <r>
    <x v="25"/>
    <x v="1"/>
    <m/>
    <m/>
    <m/>
    <n v="2938.0355872183568"/>
    <n v="188.51255183059493"/>
    <n v="3126.5481390489517"/>
    <m/>
    <n v="3126.5481390489517"/>
    <m/>
    <n v="0.9784585503663813"/>
    <n v="2690.5580138083028"/>
    <m/>
    <n v="4240.0043933632478"/>
    <n v="1141.1116342533574"/>
    <n v="3098.8927591098904"/>
  </r>
  <r>
    <x v="26"/>
    <x v="1"/>
    <m/>
    <m/>
    <m/>
    <n v="3126.5481390489517"/>
    <n v="388.70030478344006"/>
    <n v="3515.2484438323918"/>
    <m/>
    <n v="3515.2484438323918"/>
    <m/>
    <n v="1.0796327359406728"/>
    <n v="2968.7660336426716"/>
    <m/>
    <n v="4678.4276573526258"/>
    <n v="1259.1044099327173"/>
    <n v="3419.3232474199085"/>
  </r>
  <r>
    <x v="27"/>
    <x v="1"/>
    <m/>
    <m/>
    <m/>
    <n v="3515.2484438323918"/>
    <n v="38.791454289358171"/>
    <n v="3554.03989812175"/>
    <m/>
    <n v="3554.03989812175"/>
    <m/>
    <n v="1.0440981725081664"/>
    <n v="2871.0533565193441"/>
    <m/>
    <n v="4524.4439193458857"/>
    <n v="1217.6627936928026"/>
    <n v="3306.7811256530831"/>
  </r>
  <r>
    <x v="28"/>
    <x v="1"/>
    <m/>
    <m/>
    <m/>
    <n v="3554.03989812175"/>
    <n v="0"/>
    <n v="3554.03989812175"/>
    <m/>
    <n v="3492.7996386042219"/>
    <m/>
    <n v="0.98728701333097901"/>
    <n v="2714.8344553296261"/>
    <m/>
    <n v="4278.2612226816927"/>
    <n v="1151.4076879775596"/>
    <n v="3126.8535347041334"/>
  </r>
  <r>
    <x v="29"/>
    <x v="1"/>
    <m/>
    <m/>
    <m/>
    <n v="3554.03989812175"/>
    <n v="0"/>
    <n v="3554.03989812175"/>
    <m/>
    <n v="2652.176873246246"/>
    <m/>
    <n v="0.55407433565816189"/>
    <n v="1523.5894698782736"/>
    <m/>
    <n v="2400.9986080256017"/>
    <n v="646.18033173094557"/>
    <n v="1754.8182762946562"/>
  </r>
  <r>
    <x v="30"/>
    <x v="1"/>
    <m/>
    <m/>
    <m/>
    <n v="3554.03989812175"/>
    <n v="229.73989956876358"/>
    <n v="3783.7797976905135"/>
    <m/>
    <n v="3783.7797976905135"/>
    <m/>
    <n v="1.0334598746358259"/>
    <n v="2841.8002444861486"/>
    <m/>
    <n v="4478.3444400171584"/>
    <n v="1205.2560489551383"/>
    <n v="3273.08839106202"/>
  </r>
  <r>
    <x v="31"/>
    <x v="1"/>
    <m/>
    <m/>
    <m/>
    <n v="3783.7797976905135"/>
    <n v="209.65086976064276"/>
    <n v="3993.4306674511563"/>
    <m/>
    <n v="3993.4306674511563"/>
    <m/>
    <n v="1.0884611989052706"/>
    <n v="2993.0424751639953"/>
    <m/>
    <n v="4716.6844866710708"/>
    <n v="1269.4004636569198"/>
    <n v="3447.284023014151"/>
  </r>
  <r>
    <x v="32"/>
    <x v="1"/>
    <m/>
    <m/>
    <m/>
    <n v="3993.4306674511563"/>
    <n v="0"/>
    <n v="3993.4306674511563"/>
    <m/>
    <n v="3831.211546017847"/>
    <m/>
    <n v="0.97302904564315362"/>
    <n v="2675.6280022726887"/>
    <m/>
    <n v="4216.4764433324044"/>
    <n v="1134.7795612129728"/>
    <n v="3081.6968821194314"/>
  </r>
  <r>
    <x v="33"/>
    <x v="1"/>
    <m/>
    <m/>
    <m/>
    <n v="3993.4306674511563"/>
    <n v="76.611136315281783"/>
    <n v="4070.0418037664381"/>
    <m/>
    <n v="4070.0418037664381"/>
    <m/>
    <n v="1.0422883376004237"/>
    <n v="2866.0766860074723"/>
    <m/>
    <n v="4516.6012693356033"/>
    <n v="1215.5521026793408"/>
    <n v="3301.0491666562625"/>
  </r>
  <r>
    <x v="34"/>
    <x v="1"/>
    <m/>
    <m/>
    <m/>
    <n v="4070.0418037664381"/>
    <n v="212.79429815534741"/>
    <n v="4282.8361019217855"/>
    <m/>
    <n v="4282.8361019217855"/>
    <m/>
    <n v="1.0972896618698686"/>
    <n v="3017.3189166853194"/>
    <m/>
    <n v="4754.9413159895166"/>
    <n v="1279.6965173811222"/>
    <n v="3475.2447986083944"/>
  </r>
  <r>
    <x v="35"/>
    <x v="1"/>
    <m/>
    <m/>
    <m/>
    <n v="4282.8361019217855"/>
    <n v="22.548248237052576"/>
    <n v="4305.3843501588381"/>
    <m/>
    <n v="4305.3843501588381"/>
    <m/>
    <n v="1.1522909861393131"/>
    <n v="3168.5611473631652"/>
    <m/>
    <n v="4993.2813626434272"/>
    <n v="1343.8409320829032"/>
    <n v="3649.440430560524"/>
  </r>
  <r>
    <x v="24"/>
    <x v="2"/>
    <m/>
    <m/>
    <m/>
    <n v="0"/>
    <n v="830.46245656905251"/>
    <n v="830.46245656905251"/>
    <m/>
    <n v="830.46245656905251"/>
    <m/>
    <n v="0.68366370471633631"/>
    <n v="807.98469387755119"/>
    <m/>
    <n v="1273.2892709352902"/>
    <n v="342.68011681981221"/>
    <n v="930.60915411547808"/>
  </r>
  <r>
    <x v="25"/>
    <x v="2"/>
    <m/>
    <m/>
    <m/>
    <n v="830.46245656905251"/>
    <n v="39.764446254815653"/>
    <n v="870.22690282386816"/>
    <m/>
    <n v="870.22690282386816"/>
    <m/>
    <n v="0.74559125085440869"/>
    <n v="881.17346938775518"/>
    <m/>
    <n v="1388.6262114939157"/>
    <n v="373.7207272815948"/>
    <n v="1014.9054842123209"/>
  </r>
  <r>
    <x v="26"/>
    <x v="2"/>
    <m/>
    <m/>
    <m/>
    <n v="870.22690282386816"/>
    <n v="0"/>
    <n v="870.22690282386816"/>
    <m/>
    <n v="850.04973425605624"/>
    <m/>
    <n v="0.77306903622693102"/>
    <n v="913.64795918367372"/>
    <m/>
    <n v="1439.8022049868159"/>
    <n v="387.49371338053152"/>
    <n v="1052.3084916062844"/>
  </r>
  <r>
    <x v="27"/>
    <x v="2"/>
    <m/>
    <m/>
    <m/>
    <n v="870.22690282386816"/>
    <n v="579.26705819287599"/>
    <n v="1449.4939610167442"/>
    <m/>
    <n v="1449.4939610167442"/>
    <m/>
    <n v="1.3513328776486671"/>
    <n v="1597.0663265306125"/>
    <m/>
    <n v="2516.7895307329218"/>
    <n v="677.34312232830302"/>
    <n v="1839.4464084046188"/>
  </r>
  <r>
    <x v="28"/>
    <x v="2"/>
    <m/>
    <m/>
    <m/>
    <n v="1449.4939610167442"/>
    <n v="0"/>
    <n v="1449.4939610167442"/>
    <m/>
    <n v="999.47667708227414"/>
    <m/>
    <n v="0.89815447710184548"/>
    <n v="1061.4795918367349"/>
    <m/>
    <n v="1672.7675484992715"/>
    <n v="450.19163517419844"/>
    <n v="1222.5759133250731"/>
  </r>
  <r>
    <x v="29"/>
    <x v="2"/>
    <m/>
    <m/>
    <m/>
    <n v="1449.4939610167442"/>
    <n v="0"/>
    <n v="1449.4939610167442"/>
    <m/>
    <n v="963.73475155932738"/>
    <m/>
    <n v="0.80177717019822281"/>
    <n v="947.57653061224505"/>
    <m/>
    <n v="1493.2696608749204"/>
    <n v="401.8834003495698"/>
    <n v="1091.3862605253507"/>
  </r>
  <r>
    <x v="30"/>
    <x v="2"/>
    <m/>
    <m/>
    <m/>
    <n v="1449.4939610167442"/>
    <n v="0"/>
    <n v="1449.4939610167442"/>
    <m/>
    <n v="1061.4366810561683"/>
    <m/>
    <n v="0.92686261107313739"/>
    <n v="1095.4081632653063"/>
    <m/>
    <n v="1726.2350043873757"/>
    <n v="464.58132214323666"/>
    <n v="1261.653682244139"/>
  </r>
  <r>
    <x v="31"/>
    <x v="2"/>
    <m/>
    <m/>
    <m/>
    <n v="1449.4939610167442"/>
    <n v="84.434978164076483"/>
    <n v="1533.9289391808206"/>
    <m/>
    <n v="1533.9289391808206"/>
    <m/>
    <n v="1.5235816814764183"/>
    <n v="1800.637755102041"/>
    <m/>
    <n v="2837.5942660615492"/>
    <n v="763.68124414253282"/>
    <n v="2073.9130219190165"/>
  </r>
  <r>
    <x v="32"/>
    <x v="2"/>
    <m/>
    <m/>
    <m/>
    <n v="1533.9289391808206"/>
    <n v="0"/>
    <n v="1533.9289391808206"/>
    <m/>
    <n v="954.96353225168332"/>
    <m/>
    <n v="0.79152426520847574"/>
    <n v="935.45918367346951"/>
    <m/>
    <n v="1474.1741409148829"/>
    <n v="396.74422643205611"/>
    <n v="1077.4299144828267"/>
  </r>
  <r>
    <x v="33"/>
    <x v="2"/>
    <m/>
    <m/>
    <m/>
    <n v="1533.9289391808206"/>
    <n v="0"/>
    <n v="1533.9289391808206"/>
    <m/>
    <n v="1507.2340708432926"/>
    <m/>
    <n v="1.5256322624743679"/>
    <n v="1803.0612244897964"/>
    <m/>
    <n v="2841.4133700535572"/>
    <n v="764.70907892603566"/>
    <n v="2076.7042911275216"/>
  </r>
  <r>
    <x v="34"/>
    <x v="2"/>
    <m/>
    <m/>
    <m/>
    <n v="1533.9289391808206"/>
    <n v="0"/>
    <n v="1533.9289391808206"/>
    <m/>
    <n v="1080.3460912567161"/>
    <m/>
    <n v="0.95557074504442929"/>
    <n v="1129.3367346938778"/>
    <m/>
    <n v="1779.7024602754807"/>
    <n v="478.97100911227506"/>
    <n v="1300.7314511632057"/>
  </r>
  <r>
    <x v="35"/>
    <x v="2"/>
    <m/>
    <m/>
    <m/>
    <n v="1533.9289391808206"/>
    <n v="0"/>
    <n v="1533.9289391808206"/>
    <m/>
    <n v="1126.8976292554771"/>
    <m/>
    <n v="1.0232399179767602"/>
    <n v="1209.3112244897961"/>
    <m/>
    <n v="1905.732892011727"/>
    <n v="512.88955696786525"/>
    <n v="1392.84333504386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5DEB03-FA91-4C44-93A2-7A226D708490}" name="PivotTable1" cacheId="6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rowHeaderCaption="Date" colHeaderCaption="Forecast Model Validation">
  <location ref="A3:D41" firstHeaderRow="1" firstDataRow="3" firstDataCol="1"/>
  <pivotFields count="20">
    <pivotField axis="axisRow"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Col" showAll="0">
      <items count="4">
        <item x="1"/>
        <item h="1" x="0"/>
        <item h="1" x="2"/>
        <item t="default"/>
      </items>
    </pivotField>
    <pivotField showAll="0"/>
    <pivotField dataField="1"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rowItems>
  <colFields count="2">
    <field x="1"/>
    <field x="-2"/>
  </colFields>
  <colItems count="3">
    <i>
      <x/>
      <x/>
    </i>
    <i r="1" i="1">
      <x v="1"/>
    </i>
    <i r="1" i="2">
      <x v="2"/>
    </i>
  </colItems>
  <dataFields count="3">
    <dataField name="forecast_LR" fld="9" baseField="0" baseItem="0"/>
    <dataField name="forecast_seasonal_index" fld="12" baseField="0" baseItem="0"/>
    <dataField name="acutal_22/23" fld="3" baseField="0" baseItem="0"/>
  </dataFields>
  <formats count="1">
    <format dxfId="35">
      <pivotArea dataOnly="0" labelOnly="1" fieldPosition="0">
        <references count="1">
          <reference field="0" count="0"/>
        </references>
      </pivotArea>
    </format>
  </formats>
  <chartFormats count="3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1"/>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0" format="4" series="1">
      <pivotArea type="data" outline="0" fieldPosition="0">
        <references count="2">
          <reference field="4294967294" count="1" selected="0">
            <x v="1"/>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0" format="7" series="1">
      <pivotArea type="data" outline="0" fieldPosition="0">
        <references count="2">
          <reference field="4294967294" count="1" selected="0">
            <x v="1"/>
          </reference>
          <reference field="1" count="1" selected="0">
            <x v="2"/>
          </reference>
        </references>
      </pivotArea>
    </chartFormat>
    <chartFormat chart="9" format="0" series="1">
      <pivotArea type="data" outline="0" fieldPosition="0">
        <references count="2">
          <reference field="4294967294" count="1" selected="0">
            <x v="0"/>
          </reference>
          <reference field="1" count="1" selected="0">
            <x v="0"/>
          </reference>
        </references>
      </pivotArea>
    </chartFormat>
    <chartFormat chart="9" format="1" series="1">
      <pivotArea type="data" outline="0" fieldPosition="0">
        <references count="2">
          <reference field="4294967294" count="1" selected="0">
            <x v="1"/>
          </reference>
          <reference field="1" count="1" selected="0">
            <x v="0"/>
          </reference>
        </references>
      </pivotArea>
    </chartFormat>
    <chartFormat chart="9" format="3"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1"/>
          </reference>
          <reference field="1" count="1" selected="0">
            <x v="1"/>
          </reference>
        </references>
      </pivotArea>
    </chartFormat>
    <chartFormat chart="9" format="6" series="1">
      <pivotArea type="data" outline="0" fieldPosition="0">
        <references count="2">
          <reference field="4294967294" count="1" selected="0">
            <x v="0"/>
          </reference>
          <reference field="1" count="1" selected="0">
            <x v="2"/>
          </reference>
        </references>
      </pivotArea>
    </chartFormat>
    <chartFormat chart="9" format="7" series="1">
      <pivotArea type="data" outline="0" fieldPosition="0">
        <references count="2">
          <reference field="4294967294" count="1" selected="0">
            <x v="1"/>
          </reference>
          <reference field="1" count="1" selected="0">
            <x v="2"/>
          </reference>
        </references>
      </pivotArea>
    </chartFormat>
    <chartFormat chart="10" format="9" series="1">
      <pivotArea type="data" outline="0" fieldPosition="0">
        <references count="2">
          <reference field="4294967294" count="1" selected="0">
            <x v="0"/>
          </reference>
          <reference field="1" count="1" selected="0">
            <x v="0"/>
          </reference>
        </references>
      </pivotArea>
    </chartFormat>
    <chartFormat chart="10" format="10" series="1">
      <pivotArea type="data" outline="0" fieldPosition="0">
        <references count="2">
          <reference field="4294967294" count="1" selected="0">
            <x v="1"/>
          </reference>
          <reference field="1" count="1" selected="0">
            <x v="0"/>
          </reference>
        </references>
      </pivotArea>
    </chartFormat>
    <chartFormat chart="10" format="12" series="1">
      <pivotArea type="data" outline="0" fieldPosition="0">
        <references count="2">
          <reference field="4294967294" count="1" selected="0">
            <x v="0"/>
          </reference>
          <reference field="1" count="1" selected="0">
            <x v="1"/>
          </reference>
        </references>
      </pivotArea>
    </chartFormat>
    <chartFormat chart="10" format="13" series="1">
      <pivotArea type="data" outline="0" fieldPosition="0">
        <references count="2">
          <reference field="4294967294" count="1" selected="0">
            <x v="1"/>
          </reference>
          <reference field="1" count="1" selected="0">
            <x v="1"/>
          </reference>
        </references>
      </pivotArea>
    </chartFormat>
    <chartFormat chart="10" format="15" series="1">
      <pivotArea type="data" outline="0" fieldPosition="0">
        <references count="2">
          <reference field="4294967294" count="1" selected="0">
            <x v="0"/>
          </reference>
          <reference field="1" count="1" selected="0">
            <x v="2"/>
          </reference>
        </references>
      </pivotArea>
    </chartFormat>
    <chartFormat chart="10" format="16" series="1">
      <pivotArea type="data" outline="0" fieldPosition="0">
        <references count="2">
          <reference field="4294967294" count="1" selected="0">
            <x v="1"/>
          </reference>
          <reference field="1" count="1" selected="0">
            <x v="2"/>
          </reference>
        </references>
      </pivotArea>
    </chartFormat>
    <chartFormat chart="0" format="9" series="1">
      <pivotArea type="data" outline="0" fieldPosition="0">
        <references count="2">
          <reference field="4294967294" count="1" selected="0">
            <x v="2"/>
          </reference>
          <reference field="1" count="1" selected="0">
            <x v="2"/>
          </reference>
        </references>
      </pivotArea>
    </chartFormat>
    <chartFormat chart="0" format="10" series="1">
      <pivotArea type="data" outline="0" fieldPosition="0">
        <references count="2">
          <reference field="4294967294" count="1" selected="0">
            <x v="2"/>
          </reference>
          <reference field="1" count="1" selected="0">
            <x v="0"/>
          </reference>
        </references>
      </pivotArea>
    </chartFormat>
    <chartFormat chart="0" format="11" series="1">
      <pivotArea type="data" outline="0" fieldPosition="0">
        <references count="2">
          <reference field="4294967294" count="1" selected="0">
            <x v="2"/>
          </reference>
          <reference field="1" count="1" selected="0">
            <x v="1"/>
          </reference>
        </references>
      </pivotArea>
    </chartFormat>
    <chartFormat chart="0" format="12" series="1">
      <pivotArea type="data" grandCol="1" outline="0" fieldPosition="0">
        <references count="1">
          <reference field="4294967294" count="1" selected="0">
            <x v="0"/>
          </reference>
        </references>
      </pivotArea>
    </chartFormat>
    <chartFormat chart="0" format="13" series="1">
      <pivotArea type="data" grandCol="1" outline="0" fieldPosition="0">
        <references count="1">
          <reference field="4294967294" count="1" selected="0">
            <x v="1"/>
          </reference>
        </references>
      </pivotArea>
    </chartFormat>
    <chartFormat chart="0" format="14" series="1">
      <pivotArea type="data" grandCol="1" outline="0" fieldPosition="0">
        <references count="1">
          <reference field="4294967294" count="1" selected="0">
            <x v="2"/>
          </reference>
        </references>
      </pivotArea>
    </chartFormat>
    <chartFormat chart="22" format="33" series="1">
      <pivotArea type="data" outline="0" fieldPosition="0">
        <references count="2">
          <reference field="4294967294" count="1" selected="0">
            <x v="0"/>
          </reference>
          <reference field="1" count="1" selected="0">
            <x v="0"/>
          </reference>
        </references>
      </pivotArea>
    </chartFormat>
    <chartFormat chart="22" format="34" series="1">
      <pivotArea type="data" outline="0" fieldPosition="0">
        <references count="2">
          <reference field="4294967294" count="1" selected="0">
            <x v="1"/>
          </reference>
          <reference field="1" count="1" selected="0">
            <x v="0"/>
          </reference>
        </references>
      </pivotArea>
    </chartFormat>
    <chartFormat chart="22" format="35" series="1">
      <pivotArea type="data" outline="0" fieldPosition="0">
        <references count="2">
          <reference field="4294967294" count="1" selected="0">
            <x v="2"/>
          </reference>
          <reference field="1" count="1" selected="0">
            <x v="0"/>
          </reference>
        </references>
      </pivotArea>
    </chartFormat>
    <chartFormat chart="23" format="36" series="1">
      <pivotArea type="data" outline="0" fieldPosition="0">
        <references count="2">
          <reference field="4294967294" count="1" selected="0">
            <x v="0"/>
          </reference>
          <reference field="1" count="1" selected="0">
            <x v="0"/>
          </reference>
        </references>
      </pivotArea>
    </chartFormat>
    <chartFormat chart="23" format="37" series="1">
      <pivotArea type="data" outline="0" fieldPosition="0">
        <references count="2">
          <reference field="4294967294" count="1" selected="0">
            <x v="1"/>
          </reference>
          <reference field="1" count="1" selected="0">
            <x v="0"/>
          </reference>
        </references>
      </pivotArea>
    </chartFormat>
    <chartFormat chart="23" format="38" series="1">
      <pivotArea type="data" outline="0" fieldPosition="0">
        <references count="2">
          <reference field="4294967294" count="1" selected="0">
            <x v="2"/>
          </reference>
          <reference field="1" count="1" selected="0">
            <x v="0"/>
          </reference>
        </references>
      </pivotArea>
    </chartFormat>
    <chartFormat chart="25" format="18" series="1">
      <pivotArea type="data" outline="0" fieldPosition="0">
        <references count="2">
          <reference field="4294967294" count="1" selected="0">
            <x v="0"/>
          </reference>
          <reference field="1" count="1" selected="0">
            <x v="0"/>
          </reference>
        </references>
      </pivotArea>
    </chartFormat>
    <chartFormat chart="25" format="19" series="1">
      <pivotArea type="data" outline="0" fieldPosition="0">
        <references count="2">
          <reference field="4294967294" count="1" selected="0">
            <x v="1"/>
          </reference>
          <reference field="1" count="1" selected="0">
            <x v="0"/>
          </reference>
        </references>
      </pivotArea>
    </chartFormat>
    <chartFormat chart="25" format="20" series="1">
      <pivotArea type="data" outline="0" fieldPosition="0">
        <references count="2">
          <reference field="4294967294" count="1" selected="0">
            <x v="2"/>
          </reference>
          <reference field="1" count="1" selected="0">
            <x v="0"/>
          </reference>
        </references>
      </pivotArea>
    </chartFormat>
    <chartFormat chart="25" format="21" series="1">
      <pivotArea type="data" outline="0" fieldPosition="0">
        <references count="2">
          <reference field="4294967294" count="1" selected="0">
            <x v="0"/>
          </reference>
          <reference field="1" count="1" selected="0">
            <x v="1"/>
          </reference>
        </references>
      </pivotArea>
    </chartFormat>
    <chartFormat chart="25" format="22" series="1">
      <pivotArea type="data" outline="0" fieldPosition="0">
        <references count="2">
          <reference field="4294967294" count="1" selected="0">
            <x v="1"/>
          </reference>
          <reference field="1" count="1" selected="0">
            <x v="1"/>
          </reference>
        </references>
      </pivotArea>
    </chartFormat>
    <chartFormat chart="25" format="23" series="1">
      <pivotArea type="data" outline="0" fieldPosition="0">
        <references count="2">
          <reference field="4294967294" count="1" selected="0">
            <x v="2"/>
          </reference>
          <reference field="1" count="1" selected="0">
            <x v="1"/>
          </reference>
        </references>
      </pivotArea>
    </chartFormat>
    <chartFormat chart="25" format="24" series="1">
      <pivotArea type="data" outline="0" fieldPosition="0">
        <references count="2">
          <reference field="4294967294" count="1" selected="0">
            <x v="0"/>
          </reference>
          <reference field="1" count="1" selected="0">
            <x v="2"/>
          </reference>
        </references>
      </pivotArea>
    </chartFormat>
    <chartFormat chart="25" format="25" series="1">
      <pivotArea type="data" outline="0" fieldPosition="0">
        <references count="2">
          <reference field="4294967294" count="1" selected="0">
            <x v="1"/>
          </reference>
          <reference field="1" count="1" selected="0">
            <x v="2"/>
          </reference>
        </references>
      </pivotArea>
    </chartFormat>
    <chartFormat chart="25" format="26" series="1">
      <pivotArea type="data" outline="0" fieldPosition="0">
        <references count="2">
          <reference field="4294967294" count="1" selected="0">
            <x v="2"/>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55C492-C1B1-5044-B4D5-62F68AAED712}" name="PivotTable7"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ate">
  <location ref="A3:E16" firstHeaderRow="0" firstDataRow="1" firstDataCol="1"/>
  <pivotFields count="20">
    <pivotField axis="axisRow" numFmtId="14" showAll="0">
      <items count="3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x="24"/>
        <item x="25"/>
        <item x="26"/>
        <item x="27"/>
        <item x="28"/>
        <item x="29"/>
        <item x="30"/>
        <item x="31"/>
        <item x="32"/>
        <item x="33"/>
        <item x="34"/>
        <item x="35"/>
        <item t="default"/>
      </items>
    </pivotField>
    <pivotField multipleItemSelectionAllowed="1" showAll="0">
      <items count="4">
        <item x="1"/>
        <item h="1" x="0"/>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3">
    <i>
      <x v="24"/>
    </i>
    <i>
      <x v="25"/>
    </i>
    <i>
      <x v="26"/>
    </i>
    <i>
      <x v="27"/>
    </i>
    <i>
      <x v="28"/>
    </i>
    <i>
      <x v="29"/>
    </i>
    <i>
      <x v="30"/>
    </i>
    <i>
      <x v="31"/>
    </i>
    <i>
      <x v="32"/>
    </i>
    <i>
      <x v="33"/>
    </i>
    <i>
      <x v="34"/>
    </i>
    <i>
      <x v="35"/>
    </i>
    <i t="grand">
      <x/>
    </i>
  </rowItems>
  <colFields count="1">
    <field x="-2"/>
  </colFields>
  <colItems count="4">
    <i>
      <x/>
    </i>
    <i i="1">
      <x v="1"/>
    </i>
    <i i="2">
      <x v="2"/>
    </i>
    <i i="3">
      <x v="3"/>
    </i>
  </colItems>
  <dataFields count="4">
    <dataField name="Sum of High Demand" fld="14" baseField="0" baseItem="0"/>
    <dataField name="Sum of Forecast_index" fld="12" baseField="0" baseItem="0"/>
    <dataField name="Sum of Low Demand" fld="15" baseField="0" baseItem="0"/>
    <dataField name="Sum of The Gap" fld="16" baseField="0" baseItem="0"/>
  </dataFields>
  <formats count="1">
    <format dxfId="26">
      <pivotArea collapsedLevelsAreSubtotals="1" fieldPosition="0">
        <references count="1">
          <reference field="0" count="0"/>
        </references>
      </pivotArea>
    </format>
  </formats>
  <chartFormats count="8">
    <chartFormat chart="1" format="1"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1" format="6" series="1">
      <pivotArea type="data" outline="0" fieldPosition="0">
        <references count="1">
          <reference field="4294967294" count="1" selected="0">
            <x v="3"/>
          </reference>
        </references>
      </pivotArea>
    </chartFormat>
    <chartFormat chart="12" format="19" series="1">
      <pivotArea type="data" outline="0" fieldPosition="0">
        <references count="1">
          <reference field="4294967294" count="1" selected="0">
            <x v="0"/>
          </reference>
        </references>
      </pivotArea>
    </chartFormat>
    <chartFormat chart="12" format="20" series="1">
      <pivotArea type="data" outline="0" fieldPosition="0">
        <references count="1">
          <reference field="4294967294" count="1" selected="0">
            <x v="2"/>
          </reference>
        </references>
      </pivotArea>
    </chartFormat>
    <chartFormat chart="12" format="21" series="1">
      <pivotArea type="data" outline="0" fieldPosition="0">
        <references count="1">
          <reference field="4294967294" count="1" selected="0">
            <x v="1"/>
          </reference>
        </references>
      </pivotArea>
    </chartFormat>
    <chartFormat chart="12" format="22"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10D38A77-E77B-B645-A02E-31B81187A2EF}" sourceName="Category">
  <pivotTables>
    <pivotTable tabId="44" name="PivotTable7"/>
    <pivotTable tabId="27" name="PivotTable1"/>
  </pivotTables>
  <data>
    <tabular pivotCacheId="1548287957">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ACC6B03-4183-3F4D-8C9D-5C0C0423B8D5}" sourceName="Category">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D0D74472-8F9C-9D42-87FC-60007BFF177E}" cache="Slicer_Category2" caption="Category" rowHeight="5943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C26BBD3-CA02-7A4D-86C9-A6ADAEDA6F52}" cache="Slicer_Category2" caption="Category"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12E83731-C59D-574C-B2F1-E24B89EF035E}" cache="Slicer_Category" caption="Category"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83E10A6-FEDF-8F49-8101-905D7467B98A}" cache="Slicer_Category2"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BA4FE6-0AED-594C-BE66-4F02252218B0}" name="inventory_plan" displayName="inventory_plan" ref="A1:I37" totalsRowShown="0" headerRowDxfId="14">
  <autoFilter ref="A1:I37" xr:uid="{0EBA4FE6-0AED-594C-BE66-4F02252218B0}"/>
  <tableColumns count="9">
    <tableColumn id="1" xr3:uid="{CA4C7788-B907-A04C-B3D0-6EF0DD4FBEB2}" name="Date" dataDxfId="34"/>
    <tableColumn id="2" xr3:uid="{6D99B126-AF82-E645-8FA1-D2B10016B01B}" name="Category" dataDxfId="33"/>
    <tableColumn id="3" xr3:uid="{AEDCEFB8-831B-5540-A3AD-C31C6C7A9BDC}" name="Lead Time" dataDxfId="32"/>
    <tableColumn id="4" xr3:uid="{4708DE44-8B07-7A4F-A4F7-2B2A3761C8F6}" name="Start Inv" dataDxfId="31">
      <calculatedColumnFormula>F1</calculatedColumnFormula>
    </tableColumn>
    <tableColumn id="5" xr3:uid="{96E83232-6D2D-FA42-85A3-71B3D6228787}" name="Production Plan" dataDxfId="30">
      <calculatedColumnFormula>MAX(0,H2+G2-D2)</calculatedColumnFormula>
    </tableColumn>
    <tableColumn id="6" xr3:uid="{EBBE9679-DB63-D347-ADCB-EE064363800C}" name="End Inv" dataDxfId="29">
      <calculatedColumnFormula>D2+E2-G2</calculatedColumnFormula>
    </tableColumn>
    <tableColumn id="7" xr3:uid="{869D9AB3-FDD0-E246-B7C1-E87524FA47FD}" name="Forecast_index" dataDxfId="28">
      <calculatedColumnFormula>forecast!M74</calculatedColumnFormula>
    </tableColumn>
    <tableColumn id="8" xr3:uid="{6195309C-68A8-F446-9307-A2619BBE1E72}" name="Target Buffer" dataDxfId="27">
      <calculatedColumnFormula>G2*$O$7</calculatedColumnFormula>
    </tableColumn>
    <tableColumn id="9" xr3:uid="{D8C84C60-139C-AA46-90E0-948D21F05429}" name="Status">
      <calculatedColumnFormula>IF(F2&lt;0, "STOCKOUT", IF(F2&lt;(G2*0.5), "LOW STOCK", IF(F2&gt;(G2*3), "OVERSTOCK", "HEALTHY")))</calculatedColumnFormula>
    </tableColumn>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992FD25-8E26-7948-AC03-C5C241536519}" name="Table7" displayName="Table7" ref="A1:Q109" totalsRowShown="0" headerRowDxfId="0">
  <autoFilter ref="A1:Q109" xr:uid="{E992FD25-8E26-7948-AC03-C5C241536519}"/>
  <tableColumns count="17">
    <tableColumn id="1" xr3:uid="{4FB00603-8DE0-9442-AC00-B694730926E1}" name="Date" dataDxfId="13"/>
    <tableColumn id="2" xr3:uid="{B88E0496-A7D1-794C-85F0-8A9AFF9A4272}" name="Category" dataDxfId="12"/>
    <tableColumn id="3" xr3:uid="{CDEF68C9-D61F-5348-8FC8-2C3C0941F42D}" name="Forecast"/>
    <tableColumn id="4" xr3:uid="{C0361101-9719-4D42-91C8-508256C8EEC5}" name="Actual"/>
    <tableColumn id="5" xr3:uid="{503A4DF2-564A-E647-AA57-DE02E3CA4633}" name="Lead Time"/>
    <tableColumn id="6" xr3:uid="{DF697088-6D23-CE4F-985A-CCC7CD047DDB}" name="Start Inv" dataDxfId="11">
      <calculatedColumnFormula>H1</calculatedColumnFormula>
    </tableColumn>
    <tableColumn id="7" xr3:uid="{1B2B8FD6-4533-E24E-AA71-3C354D78ED5B}" name="Planned Prod" dataDxfId="10">
      <calculatedColumnFormula>MAX(0,J2+I2-F2)</calculatedColumnFormula>
    </tableColumn>
    <tableColumn id="8" xr3:uid="{1E485EEE-FB00-394A-82B4-F749FCF0AB13}" name="End Inv" dataDxfId="9">
      <calculatedColumnFormula>F2+G2-I2</calculatedColumnFormula>
    </tableColumn>
    <tableColumn id="9" xr3:uid="{0E72D125-6765-A749-8155-61A17C257711}" name="Logic/Driver"/>
    <tableColumn id="10" xr3:uid="{BF6B7EC7-546D-3D43-8AD9-3238B25F1DC0}" name="Forecast_2024" dataDxfId="8">
      <calculatedColumnFormula>_xlfn.FORECAST.ETS(A2,$D$50:$D$73,$A$50:$A$73,12)</calculatedColumnFormula>
    </tableColumn>
    <tableColumn id="11" xr3:uid="{02737102-DCD1-504E-A7D1-C85C6BA25653}" name="Index by Year" dataDxfId="7"/>
    <tableColumn id="12" xr3:uid="{7ACEC34D-0ECB-0740-9BF8-299A051F537A}" name="Seasonal Index" dataDxfId="6">
      <calculatedColumnFormula array="1">AVERAGE(_xlfn._xlws.FILTER($K$2:$K$73, ($B$2:$B$73=B2) * (TEXT($A$2:$A$73, "mmm")=TEXT(A2, "mmm"))))</calculatedColumnFormula>
    </tableColumn>
    <tableColumn id="13" xr3:uid="{1A5C56D2-662A-C346-B2E5-05EBFB99BFE7}" name="Forecast_index" dataDxfId="5">
      <calculatedColumnFormula>AVERAGEIFS($D$2:$D$109,$B$2:$B$109,B2,$A$2:$A$109,"&gt;=2023-1-1")*(1+$V$4)*L2</calculatedColumnFormula>
    </tableColumn>
    <tableColumn id="14" xr3:uid="{0F2E3B3A-04FA-9B4B-BA54-5E0DC8354D2D}" name="Volatility" dataDxfId="4" dataCellStyle="Percent"/>
    <tableColumn id="15" xr3:uid="{F8024A2D-7B95-F547-997B-0F3C45522998}" name="High Demand" dataDxfId="3">
      <calculatedColumnFormula>M2*(1+(1.96*$T$6))</calculatedColumnFormula>
    </tableColumn>
    <tableColumn id="16" xr3:uid="{51FDB8A9-15B8-C040-BB2B-927B7B9BDB8C}" name="Low Demand" dataDxfId="2">
      <calculatedColumnFormula>M2*(1-(1.96*$T$6))</calculatedColumnFormula>
    </tableColumn>
    <tableColumn id="17" xr3:uid="{7A172163-F985-6444-ABC4-E0684D5BDE14}" name="The Gap" dataDxfId="1">
      <calculatedColumnFormula>O2-P2</calculatedColumnFormula>
    </tableColumn>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15D24F-841B-4545-9142-56E7989634A6}" name="Table6" displayName="Table6" ref="A1:I73" totalsRowShown="0" headerRowDxfId="15" dataDxfId="16">
  <autoFilter ref="A1:I73" xr:uid="{5A15D24F-841B-4545-9142-56E7989634A6}"/>
  <tableColumns count="9">
    <tableColumn id="1" xr3:uid="{6385DE6A-264F-024F-9937-20284A51134A}" name="Date" dataDxfId="25"/>
    <tableColumn id="2" xr3:uid="{9C7AC59F-55A8-254A-9F8E-DF711F3792BB}" name="Category" dataDxfId="24"/>
    <tableColumn id="3" xr3:uid="{038701B0-322A-E542-8066-831384233D86}" name="Forecast" dataDxfId="23"/>
    <tableColumn id="4" xr3:uid="{A63B48A0-829D-F445-A045-90201435ECFA}" name="Actual" dataDxfId="22"/>
    <tableColumn id="5" xr3:uid="{2EEE2C75-49C4-CD45-A79A-0D150727D206}" name="Lead Time" dataDxfId="21"/>
    <tableColumn id="6" xr3:uid="{C6D49E1A-2D66-6844-B56D-FB5F00B039AC}" name="Start Inv" dataDxfId="20"/>
    <tableColumn id="7" xr3:uid="{1C8BD892-E418-0C43-8453-5F4BF2CFD1F2}" name="Production" dataDxfId="19"/>
    <tableColumn id="8" xr3:uid="{A26161DE-A437-B043-AA07-C6C094650904}" name="End Inv" dataDxfId="18"/>
    <tableColumn id="9" xr3:uid="{ABB0A826-C75A-214D-8E92-FA818EC78768}" name="Logic/Driver" dataDxfId="17"/>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A2379-BCCE-AF4E-A990-36CD1B4DF6D5}">
  <sheetPr>
    <tabColor theme="9" tint="0.79998168889431442"/>
  </sheetPr>
  <dimension ref="A1"/>
  <sheetViews>
    <sheetView showGridLines="0" zoomScale="65" workbookViewId="0">
      <selection activeCell="AD14" sqref="AD14"/>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199AD-AF28-7248-AC49-D8A9665F8D72}">
  <sheetPr>
    <tabColor theme="4" tint="0.59999389629810485"/>
  </sheetPr>
  <dimension ref="A3:D41"/>
  <sheetViews>
    <sheetView zoomScale="91" zoomScaleNormal="106" workbookViewId="0">
      <selection activeCell="K19" sqref="K19"/>
    </sheetView>
  </sheetViews>
  <sheetFormatPr baseColWidth="10" defaultRowHeight="16" x14ac:dyDescent="0.2"/>
  <cols>
    <col min="1" max="1" width="8" bestFit="1" customWidth="1"/>
    <col min="2" max="2" width="26.33203125" bestFit="1" customWidth="1"/>
    <col min="3" max="3" width="22.1640625" bestFit="1" customWidth="1"/>
    <col min="4" max="4" width="12.33203125" bestFit="1" customWidth="1"/>
    <col min="5" max="5" width="20" bestFit="1" customWidth="1"/>
    <col min="6" max="6" width="23.83203125" bestFit="1" customWidth="1"/>
    <col min="7" max="7" width="16.83203125" bestFit="1" customWidth="1"/>
    <col min="8" max="8" width="24" bestFit="1" customWidth="1"/>
    <col min="9" max="9" width="24.33203125" bestFit="1" customWidth="1"/>
    <col min="10" max="10" width="17" bestFit="1" customWidth="1"/>
    <col min="11" max="11" width="24" bestFit="1" customWidth="1"/>
    <col min="12" max="12" width="24.33203125" bestFit="1" customWidth="1"/>
    <col min="13" max="13" width="17" bestFit="1" customWidth="1"/>
  </cols>
  <sheetData>
    <row r="3" spans="1:4" x14ac:dyDescent="0.2">
      <c r="B3" s="2" t="s">
        <v>84</v>
      </c>
    </row>
    <row r="4" spans="1:4" x14ac:dyDescent="0.2">
      <c r="B4" t="s">
        <v>58</v>
      </c>
    </row>
    <row r="5" spans="1:4" x14ac:dyDescent="0.2">
      <c r="A5" s="2" t="s">
        <v>5</v>
      </c>
      <c r="B5" t="s">
        <v>82</v>
      </c>
      <c r="C5" t="s">
        <v>83</v>
      </c>
      <c r="D5" t="s">
        <v>81</v>
      </c>
    </row>
    <row r="6" spans="1:4" x14ac:dyDescent="0.2">
      <c r="A6" s="7">
        <v>44562</v>
      </c>
      <c r="B6" s="17"/>
      <c r="C6" s="17"/>
      <c r="D6" s="17">
        <v>2100</v>
      </c>
    </row>
    <row r="7" spans="1:4" x14ac:dyDescent="0.2">
      <c r="A7" s="7">
        <v>44593</v>
      </c>
      <c r="B7" s="17"/>
      <c r="C7" s="17"/>
      <c r="D7" s="17">
        <v>2050</v>
      </c>
    </row>
    <row r="8" spans="1:4" x14ac:dyDescent="0.2">
      <c r="A8" s="7">
        <v>44621</v>
      </c>
      <c r="B8" s="17"/>
      <c r="C8" s="17"/>
      <c r="D8" s="17">
        <v>2200</v>
      </c>
    </row>
    <row r="9" spans="1:4" x14ac:dyDescent="0.2">
      <c r="A9" s="7">
        <v>44652</v>
      </c>
      <c r="B9" s="17"/>
      <c r="C9" s="17"/>
      <c r="D9" s="17">
        <v>2100</v>
      </c>
    </row>
    <row r="10" spans="1:4" x14ac:dyDescent="0.2">
      <c r="A10" s="7">
        <v>44682</v>
      </c>
      <c r="B10" s="17"/>
      <c r="C10" s="17"/>
      <c r="D10" s="17">
        <v>2000</v>
      </c>
    </row>
    <row r="11" spans="1:4" x14ac:dyDescent="0.2">
      <c r="A11" s="7">
        <v>44713</v>
      </c>
      <c r="B11" s="17"/>
      <c r="C11" s="17"/>
      <c r="D11" s="17">
        <v>1200</v>
      </c>
    </row>
    <row r="12" spans="1:4" x14ac:dyDescent="0.2">
      <c r="A12" s="7">
        <v>44743</v>
      </c>
      <c r="B12" s="17"/>
      <c r="C12" s="17"/>
      <c r="D12" s="17">
        <v>2100</v>
      </c>
    </row>
    <row r="13" spans="1:4" x14ac:dyDescent="0.2">
      <c r="A13" s="7">
        <v>44774</v>
      </c>
      <c r="B13" s="17"/>
      <c r="C13" s="17"/>
      <c r="D13" s="17">
        <v>2150</v>
      </c>
    </row>
    <row r="14" spans="1:4" x14ac:dyDescent="0.2">
      <c r="A14" s="7">
        <v>44805</v>
      </c>
      <c r="B14" s="17"/>
      <c r="C14" s="17"/>
      <c r="D14" s="17">
        <v>1900</v>
      </c>
    </row>
    <row r="15" spans="1:4" x14ac:dyDescent="0.2">
      <c r="A15" s="7">
        <v>44835</v>
      </c>
      <c r="B15" s="17"/>
      <c r="C15" s="17"/>
      <c r="D15" s="17">
        <v>2050</v>
      </c>
    </row>
    <row r="16" spans="1:4" x14ac:dyDescent="0.2">
      <c r="A16" s="7">
        <v>44866</v>
      </c>
      <c r="B16" s="17"/>
      <c r="C16" s="17"/>
      <c r="D16" s="17">
        <v>2100</v>
      </c>
    </row>
    <row r="17" spans="1:4" x14ac:dyDescent="0.2">
      <c r="A17" s="7">
        <v>44896</v>
      </c>
      <c r="B17" s="17"/>
      <c r="C17" s="17"/>
      <c r="D17" s="17">
        <v>2150</v>
      </c>
    </row>
    <row r="18" spans="1:4" x14ac:dyDescent="0.2">
      <c r="A18" s="7">
        <v>44927</v>
      </c>
      <c r="B18" s="17"/>
      <c r="C18" s="17"/>
      <c r="D18" s="17">
        <v>2100</v>
      </c>
    </row>
    <row r="19" spans="1:4" x14ac:dyDescent="0.2">
      <c r="A19" s="7">
        <v>44958</v>
      </c>
      <c r="B19" s="17"/>
      <c r="C19" s="17"/>
      <c r="D19" s="17">
        <v>2200</v>
      </c>
    </row>
    <row r="20" spans="1:4" x14ac:dyDescent="0.2">
      <c r="A20" s="7">
        <v>44986</v>
      </c>
      <c r="B20" s="17"/>
      <c r="C20" s="17"/>
      <c r="D20" s="17">
        <v>2500</v>
      </c>
    </row>
    <row r="21" spans="1:4" x14ac:dyDescent="0.2">
      <c r="A21" s="7">
        <v>45017</v>
      </c>
      <c r="B21" s="17"/>
      <c r="C21" s="17"/>
      <c r="D21" s="17">
        <v>2450</v>
      </c>
    </row>
    <row r="22" spans="1:4" x14ac:dyDescent="0.2">
      <c r="A22" s="7">
        <v>45047</v>
      </c>
      <c r="B22" s="17"/>
      <c r="C22" s="17"/>
      <c r="D22" s="17">
        <v>2300</v>
      </c>
    </row>
    <row r="23" spans="1:4" x14ac:dyDescent="0.2">
      <c r="A23" s="7">
        <v>45078</v>
      </c>
      <c r="B23" s="17"/>
      <c r="C23" s="17"/>
      <c r="D23" s="17">
        <v>1200</v>
      </c>
    </row>
    <row r="24" spans="1:4" x14ac:dyDescent="0.2">
      <c r="A24" s="7">
        <v>45108</v>
      </c>
      <c r="B24" s="17"/>
      <c r="C24" s="17"/>
      <c r="D24" s="17">
        <v>2400</v>
      </c>
    </row>
    <row r="25" spans="1:4" x14ac:dyDescent="0.2">
      <c r="A25" s="7">
        <v>45139</v>
      </c>
      <c r="B25" s="17"/>
      <c r="C25" s="17"/>
      <c r="D25" s="17">
        <v>2600</v>
      </c>
    </row>
    <row r="26" spans="1:4" x14ac:dyDescent="0.2">
      <c r="A26" s="7">
        <v>45170</v>
      </c>
      <c r="B26" s="17"/>
      <c r="C26" s="17"/>
      <c r="D26" s="17">
        <v>2350</v>
      </c>
    </row>
    <row r="27" spans="1:4" x14ac:dyDescent="0.2">
      <c r="A27" s="7">
        <v>45200</v>
      </c>
      <c r="B27" s="17"/>
      <c r="C27" s="17"/>
      <c r="D27" s="17">
        <v>2500</v>
      </c>
    </row>
    <row r="28" spans="1:4" x14ac:dyDescent="0.2">
      <c r="A28" s="7">
        <v>45231</v>
      </c>
      <c r="B28" s="17"/>
      <c r="C28" s="17"/>
      <c r="D28" s="17">
        <v>2700</v>
      </c>
    </row>
    <row r="29" spans="1:4" x14ac:dyDescent="0.2">
      <c r="A29" s="7">
        <v>45261</v>
      </c>
      <c r="B29" s="17"/>
      <c r="C29" s="17"/>
      <c r="D29" s="17">
        <v>2900</v>
      </c>
    </row>
    <row r="30" spans="1:4" x14ac:dyDescent="0.2">
      <c r="A30" s="7">
        <v>45292</v>
      </c>
      <c r="B30" s="17">
        <v>2938.0355872183568</v>
      </c>
      <c r="C30" s="17">
        <v>2666.2815722869786</v>
      </c>
      <c r="D30" s="17"/>
    </row>
    <row r="31" spans="1:4" x14ac:dyDescent="0.2">
      <c r="A31" s="7">
        <v>45323</v>
      </c>
      <c r="B31" s="17">
        <v>3126.5481390489517</v>
      </c>
      <c r="C31" s="17">
        <v>2690.5580138083028</v>
      </c>
      <c r="D31" s="17"/>
    </row>
    <row r="32" spans="1:4" x14ac:dyDescent="0.2">
      <c r="A32" s="7">
        <v>45352</v>
      </c>
      <c r="B32" s="17">
        <v>3515.2484438323918</v>
      </c>
      <c r="C32" s="17">
        <v>2968.7660336426716</v>
      </c>
      <c r="D32" s="17"/>
    </row>
    <row r="33" spans="1:4" x14ac:dyDescent="0.2">
      <c r="A33" s="7">
        <v>45383</v>
      </c>
      <c r="B33" s="17">
        <v>3554.03989812175</v>
      </c>
      <c r="C33" s="17">
        <v>2871.0533565193441</v>
      </c>
      <c r="D33" s="17"/>
    </row>
    <row r="34" spans="1:4" x14ac:dyDescent="0.2">
      <c r="A34" s="7">
        <v>45413</v>
      </c>
      <c r="B34" s="17">
        <v>3492.7996386042219</v>
      </c>
      <c r="C34" s="17">
        <v>2714.8344553296261</v>
      </c>
      <c r="D34" s="17"/>
    </row>
    <row r="35" spans="1:4" x14ac:dyDescent="0.2">
      <c r="A35" s="7">
        <v>45444</v>
      </c>
      <c r="B35" s="17">
        <v>2652.176873246246</v>
      </c>
      <c r="C35" s="17">
        <v>1523.5894698782736</v>
      </c>
      <c r="D35" s="17"/>
    </row>
    <row r="36" spans="1:4" x14ac:dyDescent="0.2">
      <c r="A36" s="7">
        <v>45474</v>
      </c>
      <c r="B36" s="17">
        <v>3783.7797976905135</v>
      </c>
      <c r="C36" s="17">
        <v>2841.8002444861486</v>
      </c>
      <c r="D36" s="17"/>
    </row>
    <row r="37" spans="1:4" x14ac:dyDescent="0.2">
      <c r="A37" s="7">
        <v>45505</v>
      </c>
      <c r="B37" s="17">
        <v>3993.4306674511563</v>
      </c>
      <c r="C37" s="17">
        <v>2993.0424751639953</v>
      </c>
      <c r="D37" s="17"/>
    </row>
    <row r="38" spans="1:4" x14ac:dyDescent="0.2">
      <c r="A38" s="7">
        <v>45536</v>
      </c>
      <c r="B38" s="17">
        <v>3831.211546017847</v>
      </c>
      <c r="C38" s="17">
        <v>2675.6280022726887</v>
      </c>
      <c r="D38" s="17"/>
    </row>
    <row r="39" spans="1:4" x14ac:dyDescent="0.2">
      <c r="A39" s="7">
        <v>45566</v>
      </c>
      <c r="B39" s="17">
        <v>4070.0418037664381</v>
      </c>
      <c r="C39" s="17">
        <v>2866.0766860074723</v>
      </c>
      <c r="D39" s="17"/>
    </row>
    <row r="40" spans="1:4" x14ac:dyDescent="0.2">
      <c r="A40" s="7">
        <v>45597</v>
      </c>
      <c r="B40" s="17">
        <v>4282.8361019217855</v>
      </c>
      <c r="C40" s="17">
        <v>3017.3189166853194</v>
      </c>
      <c r="D40" s="17"/>
    </row>
    <row r="41" spans="1:4" x14ac:dyDescent="0.2">
      <c r="A41" s="7">
        <v>45627</v>
      </c>
      <c r="B41" s="17">
        <v>4305.3843501588381</v>
      </c>
      <c r="C41" s="17">
        <v>3168.5611473631652</v>
      </c>
      <c r="D41" s="1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1F39E-A597-1744-963D-42CA8E9397CC}">
  <sheetPr>
    <tabColor theme="7" tint="0.59999389629810485"/>
  </sheetPr>
  <dimension ref="A1:O37"/>
  <sheetViews>
    <sheetView tabSelected="1" zoomScale="75" workbookViewId="0">
      <selection activeCell="G43" sqref="G43"/>
    </sheetView>
  </sheetViews>
  <sheetFormatPr baseColWidth="10" defaultRowHeight="16" x14ac:dyDescent="0.2"/>
  <cols>
    <col min="1" max="1" width="11.6640625" bestFit="1" customWidth="1"/>
    <col min="2" max="2" width="13.6640625" bestFit="1" customWidth="1"/>
    <col min="3" max="3" width="19.5" bestFit="1" customWidth="1"/>
    <col min="4" max="4" width="12.1640625" bestFit="1" customWidth="1"/>
    <col min="5" max="5" width="18.6640625" customWidth="1"/>
    <col min="6" max="6" width="12.1640625" bestFit="1" customWidth="1"/>
    <col min="7" max="7" width="18" customWidth="1"/>
    <col min="8" max="8" width="16" customWidth="1"/>
    <col min="9" max="9" width="11.1640625" bestFit="1" customWidth="1"/>
    <col min="10" max="20" width="12.1640625" bestFit="1" customWidth="1"/>
    <col min="21" max="21" width="13" bestFit="1" customWidth="1"/>
    <col min="22" max="22" width="16" bestFit="1" customWidth="1"/>
    <col min="23" max="38" width="12.1640625" bestFit="1" customWidth="1"/>
    <col min="39" max="39" width="9.5" bestFit="1" customWidth="1"/>
    <col min="40" max="40" width="5.1640625" bestFit="1" customWidth="1"/>
    <col min="41" max="41" width="9.5" bestFit="1" customWidth="1"/>
    <col min="42" max="42" width="5.1640625" bestFit="1" customWidth="1"/>
    <col min="43" max="43" width="9.5" bestFit="1" customWidth="1"/>
    <col min="44" max="44" width="5.1640625" bestFit="1" customWidth="1"/>
    <col min="45" max="45" width="9.5" bestFit="1" customWidth="1"/>
    <col min="46" max="46" width="5.1640625" bestFit="1" customWidth="1"/>
    <col min="47" max="47" width="9.5" bestFit="1" customWidth="1"/>
    <col min="48" max="48" width="5.1640625" bestFit="1" customWidth="1"/>
    <col min="49" max="49" width="9.5" bestFit="1" customWidth="1"/>
    <col min="50" max="50" width="5.1640625" bestFit="1" customWidth="1"/>
    <col min="51" max="51" width="9.5" bestFit="1" customWidth="1"/>
    <col min="52" max="52" width="5.1640625" bestFit="1" customWidth="1"/>
    <col min="53" max="53" width="9.5" bestFit="1" customWidth="1"/>
    <col min="54" max="54" width="5.1640625" bestFit="1" customWidth="1"/>
    <col min="55" max="55" width="9.5" bestFit="1" customWidth="1"/>
    <col min="56" max="56" width="5.1640625" bestFit="1" customWidth="1"/>
    <col min="57" max="57" width="9.5" bestFit="1" customWidth="1"/>
    <col min="58" max="58" width="5.1640625" bestFit="1" customWidth="1"/>
    <col min="59" max="59" width="9.5" bestFit="1" customWidth="1"/>
    <col min="60" max="60" width="5.1640625" bestFit="1" customWidth="1"/>
    <col min="61" max="61" width="9.5" bestFit="1" customWidth="1"/>
    <col min="62" max="62" width="5.1640625" bestFit="1" customWidth="1"/>
    <col min="63" max="63" width="9.5" bestFit="1" customWidth="1"/>
    <col min="64" max="64" width="5.1640625" bestFit="1" customWidth="1"/>
    <col min="65" max="65" width="9.5" bestFit="1" customWidth="1"/>
    <col min="66" max="66" width="5.1640625" bestFit="1" customWidth="1"/>
    <col min="67" max="67" width="9.5" bestFit="1" customWidth="1"/>
    <col min="68" max="68" width="5.1640625" bestFit="1" customWidth="1"/>
    <col min="69" max="69" width="9.5" bestFit="1" customWidth="1"/>
    <col min="70" max="70" width="5.1640625" bestFit="1" customWidth="1"/>
    <col min="71" max="71" width="9.5" bestFit="1" customWidth="1"/>
    <col min="72" max="72" width="5.1640625" bestFit="1" customWidth="1"/>
    <col min="73" max="73" width="9.5" bestFit="1" customWidth="1"/>
    <col min="74" max="74" width="10.5" bestFit="1" customWidth="1"/>
  </cols>
  <sheetData>
    <row r="1" spans="1:15" x14ac:dyDescent="0.2">
      <c r="A1" s="19" t="s">
        <v>5</v>
      </c>
      <c r="B1" s="19" t="s">
        <v>0</v>
      </c>
      <c r="C1" s="19" t="s">
        <v>6</v>
      </c>
      <c r="D1" s="19" t="s">
        <v>7</v>
      </c>
      <c r="E1" s="19" t="s">
        <v>80</v>
      </c>
      <c r="F1" s="19" t="s">
        <v>8</v>
      </c>
      <c r="G1" s="19" t="s">
        <v>65</v>
      </c>
      <c r="H1" s="19" t="s">
        <v>69</v>
      </c>
      <c r="I1" s="19" t="s">
        <v>72</v>
      </c>
    </row>
    <row r="2" spans="1:15" x14ac:dyDescent="0.2">
      <c r="A2" s="5">
        <v>45292</v>
      </c>
      <c r="B2" s="4" t="s">
        <v>1</v>
      </c>
      <c r="C2" s="4">
        <v>14</v>
      </c>
      <c r="D2">
        <f>data!H25</f>
        <v>3450</v>
      </c>
      <c r="E2" s="1">
        <f>MAX(0,H2+G2-D2)</f>
        <v>0</v>
      </c>
      <c r="F2" s="1">
        <f t="shared" ref="F2:F37" si="0">D2+E2-G2</f>
        <v>2141.756071950329</v>
      </c>
      <c r="G2" s="1">
        <f>forecast!M74</f>
        <v>1308.2439280496712</v>
      </c>
      <c r="H2" s="1">
        <f t="shared" ref="H2:H13" si="1">G2*$M$7</f>
        <v>1569.8927136596055</v>
      </c>
      <c r="I2" t="str">
        <f t="shared" ref="I2:I37" si="2">IF(F2&lt;0, "STOCKOUT", IF(F2&lt;(G2*0.5), "LOW STOCK", IF(F2&gt;(G2*3), "OVERSTOCK", "HEALTHY")))</f>
        <v>HEALTHY</v>
      </c>
      <c r="M2" s="15" t="s">
        <v>68</v>
      </c>
    </row>
    <row r="3" spans="1:15" x14ac:dyDescent="0.2">
      <c r="A3" s="5">
        <v>45323</v>
      </c>
      <c r="B3" s="4" t="s">
        <v>1</v>
      </c>
      <c r="C3" s="4">
        <v>14</v>
      </c>
      <c r="D3" s="1">
        <f t="shared" ref="D3:D13" si="3">F2</f>
        <v>2141.756071950329</v>
      </c>
      <c r="E3" s="1">
        <f t="shared" ref="E3:E37" si="4">MAX(0,H3+G3-D3)</f>
        <v>745.16389700511309</v>
      </c>
      <c r="F3" s="1">
        <f>D3+E3-G3</f>
        <v>1574.6836194302412</v>
      </c>
      <c r="G3" s="1">
        <f>forecast!M75</f>
        <v>1312.2363495252009</v>
      </c>
      <c r="H3" s="1">
        <f t="shared" si="1"/>
        <v>1574.6836194302412</v>
      </c>
      <c r="I3" t="str">
        <f t="shared" si="2"/>
        <v>HEALTHY</v>
      </c>
      <c r="M3" s="9">
        <v>0.95</v>
      </c>
    </row>
    <row r="4" spans="1:15" x14ac:dyDescent="0.2">
      <c r="A4" s="5">
        <v>45352</v>
      </c>
      <c r="B4" s="4" t="s">
        <v>1</v>
      </c>
      <c r="C4" s="4">
        <v>15</v>
      </c>
      <c r="D4" s="1">
        <f t="shared" si="3"/>
        <v>1574.6836194302412</v>
      </c>
      <c r="E4" s="1">
        <f t="shared" si="4"/>
        <v>1739.0262052593137</v>
      </c>
      <c r="F4" s="1">
        <f>D4+E4-G4</f>
        <v>1807.4780861943027</v>
      </c>
      <c r="G4" s="1">
        <f>forecast!M76</f>
        <v>1506.2317384952521</v>
      </c>
      <c r="H4" s="1">
        <f t="shared" si="1"/>
        <v>1807.4780861943025</v>
      </c>
      <c r="I4" t="str">
        <f t="shared" si="2"/>
        <v>HEALTHY</v>
      </c>
    </row>
    <row r="5" spans="1:15" x14ac:dyDescent="0.2">
      <c r="A5" s="5">
        <v>45383</v>
      </c>
      <c r="B5" s="4" t="s">
        <v>1</v>
      </c>
      <c r="C5" s="4">
        <v>14</v>
      </c>
      <c r="D5" s="1">
        <f t="shared" si="3"/>
        <v>1807.4780861943027</v>
      </c>
      <c r="E5" s="1">
        <f>MAX(0,H5+G5-D5)</f>
        <v>1937.4132578524468</v>
      </c>
      <c r="F5" s="1">
        <f t="shared" si="0"/>
        <v>2042.6680058436816</v>
      </c>
      <c r="G5" s="1">
        <f>forecast!M77</f>
        <v>1702.2233382030679</v>
      </c>
      <c r="H5" s="1">
        <f t="shared" si="1"/>
        <v>2042.6680058436814</v>
      </c>
      <c r="I5" t="str">
        <f t="shared" si="2"/>
        <v>HEALTHY</v>
      </c>
      <c r="M5" s="15" t="s">
        <v>70</v>
      </c>
    </row>
    <row r="6" spans="1:15" x14ac:dyDescent="0.2">
      <c r="A6" s="5">
        <v>45413</v>
      </c>
      <c r="B6" s="4" t="s">
        <v>1</v>
      </c>
      <c r="C6" s="4">
        <v>16</v>
      </c>
      <c r="D6" s="1">
        <f t="shared" si="3"/>
        <v>2042.6680058436816</v>
      </c>
      <c r="E6" s="1">
        <f>MAX(0,H6+G6-D6)</f>
        <v>2496.7152118334552</v>
      </c>
      <c r="F6" s="1">
        <f t="shared" si="0"/>
        <v>2476.0272096420745</v>
      </c>
      <c r="G6" s="1">
        <f>forecast!M78</f>
        <v>2063.3560080350621</v>
      </c>
      <c r="H6" s="1">
        <f t="shared" si="1"/>
        <v>2476.0272096420745</v>
      </c>
      <c r="I6" t="str">
        <f t="shared" si="2"/>
        <v>HEALTHY</v>
      </c>
      <c r="M6" s="9" t="s">
        <v>1</v>
      </c>
      <c r="N6" s="9" t="s">
        <v>71</v>
      </c>
      <c r="O6" s="9" t="s">
        <v>57</v>
      </c>
    </row>
    <row r="7" spans="1:15" x14ac:dyDescent="0.2">
      <c r="A7" s="5">
        <v>45444</v>
      </c>
      <c r="B7" s="4" t="s">
        <v>1</v>
      </c>
      <c r="C7" s="4">
        <v>14</v>
      </c>
      <c r="D7" s="1">
        <f t="shared" si="3"/>
        <v>2476.0272096420745</v>
      </c>
      <c r="E7" s="1">
        <f t="shared" si="4"/>
        <v>2172.7483564645731</v>
      </c>
      <c r="F7" s="1">
        <f t="shared" si="0"/>
        <v>2535.6957633308989</v>
      </c>
      <c r="G7" s="1">
        <f>forecast!M79</f>
        <v>2113.0798027757487</v>
      </c>
      <c r="H7" s="1">
        <f t="shared" si="1"/>
        <v>2535.6957633308984</v>
      </c>
      <c r="I7" t="str">
        <f t="shared" si="2"/>
        <v>HEALTHY</v>
      </c>
      <c r="M7" s="16">
        <v>1.2</v>
      </c>
      <c r="N7" s="16">
        <v>0.5</v>
      </c>
      <c r="O7" s="16">
        <v>1</v>
      </c>
    </row>
    <row r="8" spans="1:15" x14ac:dyDescent="0.2">
      <c r="A8" s="5">
        <v>45474</v>
      </c>
      <c r="B8" s="4" t="s">
        <v>1</v>
      </c>
      <c r="C8" s="4">
        <v>18</v>
      </c>
      <c r="D8" s="1">
        <f t="shared" si="3"/>
        <v>2535.6957633308989</v>
      </c>
      <c r="E8" s="1">
        <f t="shared" si="4"/>
        <v>2058.3836285609927</v>
      </c>
      <c r="F8" s="1">
        <f t="shared" si="0"/>
        <v>2505.8614864864862</v>
      </c>
      <c r="G8" s="1">
        <f>forecast!M80</f>
        <v>2088.2179054054054</v>
      </c>
      <c r="H8" s="1">
        <f t="shared" si="1"/>
        <v>2505.8614864864862</v>
      </c>
      <c r="I8" t="str">
        <f t="shared" si="2"/>
        <v>HEALTHY</v>
      </c>
    </row>
    <row r="9" spans="1:15" x14ac:dyDescent="0.2">
      <c r="A9" s="5">
        <v>45505</v>
      </c>
      <c r="B9" s="4" t="s">
        <v>1</v>
      </c>
      <c r="C9" s="4">
        <v>14</v>
      </c>
      <c r="D9" s="1">
        <f t="shared" si="3"/>
        <v>2505.8614864864862</v>
      </c>
      <c r="E9" s="1">
        <f t="shared" si="4"/>
        <v>1044.1996895544198</v>
      </c>
      <c r="F9" s="1">
        <f t="shared" si="0"/>
        <v>1936.3970051132214</v>
      </c>
      <c r="G9" s="1">
        <f>forecast!M81</f>
        <v>1613.6641709276846</v>
      </c>
      <c r="H9" s="1">
        <f t="shared" si="1"/>
        <v>1936.3970051132214</v>
      </c>
      <c r="I9" t="str">
        <f t="shared" si="2"/>
        <v>HEALTHY</v>
      </c>
    </row>
    <row r="10" spans="1:15" x14ac:dyDescent="0.2">
      <c r="A10" s="5">
        <v>45536</v>
      </c>
      <c r="B10" s="4" t="s">
        <v>1</v>
      </c>
      <c r="C10" s="4">
        <v>14</v>
      </c>
      <c r="D10" s="1">
        <f t="shared" si="3"/>
        <v>1936.3970051132214</v>
      </c>
      <c r="E10" s="1">
        <f t="shared" si="4"/>
        <v>1613.6641709276846</v>
      </c>
      <c r="F10" s="1">
        <f t="shared" si="0"/>
        <v>1936.3970051132214</v>
      </c>
      <c r="G10" s="1">
        <f>forecast!M82</f>
        <v>1613.6641709276846</v>
      </c>
      <c r="H10" s="1">
        <f t="shared" si="1"/>
        <v>1936.3970051132214</v>
      </c>
      <c r="I10" t="str">
        <f t="shared" si="2"/>
        <v>HEALTHY</v>
      </c>
    </row>
    <row r="11" spans="1:15" x14ac:dyDescent="0.2">
      <c r="A11" s="5">
        <v>45566</v>
      </c>
      <c r="B11" s="4" t="s">
        <v>1</v>
      </c>
      <c r="C11" s="4">
        <v>15</v>
      </c>
      <c r="D11" s="1">
        <f t="shared" si="3"/>
        <v>1936.3970051132214</v>
      </c>
      <c r="E11" s="1">
        <f t="shared" si="4"/>
        <v>3375.5197680788892</v>
      </c>
      <c r="F11" s="1">
        <f t="shared" si="0"/>
        <v>2897.4091490138785</v>
      </c>
      <c r="G11" s="1">
        <f>forecast!M83</f>
        <v>2414.5076241782322</v>
      </c>
      <c r="H11" s="1">
        <f t="shared" si="1"/>
        <v>2897.4091490138785</v>
      </c>
      <c r="I11" t="str">
        <f t="shared" si="2"/>
        <v>HEALTHY</v>
      </c>
    </row>
    <row r="12" spans="1:15" x14ac:dyDescent="0.2">
      <c r="A12" s="5">
        <v>45597</v>
      </c>
      <c r="B12" s="4" t="s">
        <v>1</v>
      </c>
      <c r="C12" s="4">
        <v>22</v>
      </c>
      <c r="D12" s="1">
        <f t="shared" si="3"/>
        <v>2897.4091490138785</v>
      </c>
      <c r="E12" s="1">
        <f t="shared" si="4"/>
        <v>5528.9956172388611</v>
      </c>
      <c r="F12" s="1">
        <f t="shared" si="0"/>
        <v>4596.220781592403</v>
      </c>
      <c r="G12" s="1">
        <f>forecast!M84</f>
        <v>3830.1839846603361</v>
      </c>
      <c r="H12" s="1">
        <f t="shared" si="1"/>
        <v>4596.220781592403</v>
      </c>
      <c r="I12" t="str">
        <f t="shared" si="2"/>
        <v>HEALTHY</v>
      </c>
    </row>
    <row r="13" spans="1:15" x14ac:dyDescent="0.2">
      <c r="A13" s="5">
        <v>45627</v>
      </c>
      <c r="B13" s="4" t="s">
        <v>1</v>
      </c>
      <c r="C13" s="4">
        <v>25</v>
      </c>
      <c r="D13" s="1">
        <f t="shared" si="3"/>
        <v>4596.220781592403</v>
      </c>
      <c r="E13" s="1">
        <f t="shared" si="4"/>
        <v>4329.2366691015341</v>
      </c>
      <c r="F13" s="1">
        <f t="shared" si="0"/>
        <v>4868.4313367421473</v>
      </c>
      <c r="G13" s="1">
        <f>forecast!M85</f>
        <v>4057.0261139517897</v>
      </c>
      <c r="H13" s="1">
        <f t="shared" si="1"/>
        <v>4868.4313367421473</v>
      </c>
      <c r="I13" t="str">
        <f t="shared" si="2"/>
        <v>HEALTHY</v>
      </c>
    </row>
    <row r="14" spans="1:15" x14ac:dyDescent="0.2">
      <c r="A14" s="5">
        <v>45292</v>
      </c>
      <c r="B14" s="4" t="s">
        <v>58</v>
      </c>
      <c r="C14" s="4">
        <v>7</v>
      </c>
      <c r="D14" s="1">
        <f>data!H49</f>
        <v>1450</v>
      </c>
      <c r="E14" s="1">
        <f t="shared" si="4"/>
        <v>2549.4223584304682</v>
      </c>
      <c r="F14" s="1">
        <f t="shared" si="0"/>
        <v>1333.1407861434895</v>
      </c>
      <c r="G14" s="1">
        <f>forecast!M86</f>
        <v>2666.2815722869786</v>
      </c>
      <c r="H14" s="1">
        <f>G14*$N$7</f>
        <v>1333.1407861434893</v>
      </c>
      <c r="I14" t="str">
        <f t="shared" si="2"/>
        <v>HEALTHY</v>
      </c>
    </row>
    <row r="15" spans="1:15" x14ac:dyDescent="0.2">
      <c r="A15" s="5">
        <v>45323</v>
      </c>
      <c r="B15" s="4" t="s">
        <v>58</v>
      </c>
      <c r="C15" s="4">
        <v>7</v>
      </c>
      <c r="D15" s="1">
        <f t="shared" ref="D15:D25" si="5">F14</f>
        <v>1333.1407861434895</v>
      </c>
      <c r="E15" s="1">
        <f t="shared" si="4"/>
        <v>2702.6962345689649</v>
      </c>
      <c r="F15" s="1">
        <f t="shared" si="0"/>
        <v>1345.2790069041516</v>
      </c>
      <c r="G15" s="1">
        <f>forecast!M87</f>
        <v>2690.5580138083028</v>
      </c>
      <c r="H15" s="1">
        <f t="shared" ref="H15:H25" si="6">G15*$N$7</f>
        <v>1345.2790069041514</v>
      </c>
      <c r="I15" t="str">
        <f t="shared" si="2"/>
        <v>HEALTHY</v>
      </c>
    </row>
    <row r="16" spans="1:15" x14ac:dyDescent="0.2">
      <c r="A16" s="5">
        <v>45352</v>
      </c>
      <c r="B16" s="4" t="s">
        <v>58</v>
      </c>
      <c r="C16" s="4">
        <v>8</v>
      </c>
      <c r="D16" s="1">
        <f t="shared" si="5"/>
        <v>1345.2790069041516</v>
      </c>
      <c r="E16" s="1">
        <f t="shared" si="4"/>
        <v>3107.8700435598562</v>
      </c>
      <c r="F16" s="1">
        <f t="shared" si="0"/>
        <v>1484.3830168213362</v>
      </c>
      <c r="G16" s="1">
        <f>forecast!M88</f>
        <v>2968.7660336426716</v>
      </c>
      <c r="H16" s="1">
        <f t="shared" si="6"/>
        <v>1484.3830168213358</v>
      </c>
      <c r="I16" t="str">
        <f t="shared" si="2"/>
        <v>HEALTHY</v>
      </c>
    </row>
    <row r="17" spans="1:9" x14ac:dyDescent="0.2">
      <c r="A17" s="5">
        <v>45383</v>
      </c>
      <c r="B17" s="4" t="s">
        <v>58</v>
      </c>
      <c r="C17" s="4">
        <v>7</v>
      </c>
      <c r="D17" s="1">
        <f t="shared" si="5"/>
        <v>1484.3830168213362</v>
      </c>
      <c r="E17" s="1">
        <f t="shared" si="4"/>
        <v>2822.1970179576801</v>
      </c>
      <c r="F17" s="1">
        <f t="shared" si="0"/>
        <v>1435.5266782596723</v>
      </c>
      <c r="G17" s="1">
        <f>forecast!M89</f>
        <v>2871.0533565193441</v>
      </c>
      <c r="H17" s="1">
        <f t="shared" si="6"/>
        <v>1435.5266782596721</v>
      </c>
      <c r="I17" t="str">
        <f t="shared" si="2"/>
        <v>HEALTHY</v>
      </c>
    </row>
    <row r="18" spans="1:9" x14ac:dyDescent="0.2">
      <c r="A18" s="5">
        <v>45413</v>
      </c>
      <c r="B18" s="4" t="s">
        <v>58</v>
      </c>
      <c r="C18" s="4">
        <v>7</v>
      </c>
      <c r="D18" s="1">
        <f t="shared" si="5"/>
        <v>1435.5266782596723</v>
      </c>
      <c r="E18" s="1">
        <f t="shared" si="4"/>
        <v>2636.7250047347666</v>
      </c>
      <c r="F18" s="1">
        <f t="shared" si="0"/>
        <v>1357.4172276648128</v>
      </c>
      <c r="G18" s="1">
        <f>forecast!M90</f>
        <v>2714.8344553296261</v>
      </c>
      <c r="H18" s="1">
        <f t="shared" si="6"/>
        <v>1357.417227664813</v>
      </c>
      <c r="I18" t="str">
        <f t="shared" si="2"/>
        <v>HEALTHY</v>
      </c>
    </row>
    <row r="19" spans="1:9" x14ac:dyDescent="0.2">
      <c r="A19" s="5">
        <v>45444</v>
      </c>
      <c r="B19" s="4" t="s">
        <v>58</v>
      </c>
      <c r="C19" s="4">
        <v>25</v>
      </c>
      <c r="D19" s="1">
        <f t="shared" si="5"/>
        <v>1357.4172276648128</v>
      </c>
      <c r="E19" s="1">
        <f t="shared" si="4"/>
        <v>927.96697715259734</v>
      </c>
      <c r="F19" s="1">
        <f t="shared" si="0"/>
        <v>761.79473493913656</v>
      </c>
      <c r="G19" s="1">
        <f>forecast!M91</f>
        <v>1523.5894698782736</v>
      </c>
      <c r="H19" s="1">
        <f t="shared" si="6"/>
        <v>761.79473493913679</v>
      </c>
      <c r="I19" t="str">
        <f t="shared" si="2"/>
        <v>HEALTHY</v>
      </c>
    </row>
    <row r="20" spans="1:9" x14ac:dyDescent="0.2">
      <c r="A20" s="5">
        <v>45474</v>
      </c>
      <c r="B20" s="4" t="s">
        <v>58</v>
      </c>
      <c r="C20" s="4">
        <v>7</v>
      </c>
      <c r="D20" s="1">
        <f t="shared" si="5"/>
        <v>761.79473493913656</v>
      </c>
      <c r="E20" s="1">
        <f>MAX(0,H20+G20-D20)</f>
        <v>3500.9056317900863</v>
      </c>
      <c r="F20" s="1">
        <f t="shared" si="0"/>
        <v>1420.9001222430743</v>
      </c>
      <c r="G20" s="1">
        <f>forecast!M92</f>
        <v>2841.8002444861486</v>
      </c>
      <c r="H20" s="1">
        <f t="shared" si="6"/>
        <v>1420.9001222430743</v>
      </c>
      <c r="I20" t="str">
        <f t="shared" si="2"/>
        <v>HEALTHY</v>
      </c>
    </row>
    <row r="21" spans="1:9" x14ac:dyDescent="0.2">
      <c r="A21" s="5">
        <v>45505</v>
      </c>
      <c r="B21" s="4" t="s">
        <v>58</v>
      </c>
      <c r="C21" s="4">
        <v>7</v>
      </c>
      <c r="D21" s="1">
        <f t="shared" si="5"/>
        <v>1420.9001222430743</v>
      </c>
      <c r="E21" s="1">
        <f t="shared" si="4"/>
        <v>3068.6635905029189</v>
      </c>
      <c r="F21" s="1">
        <f t="shared" si="0"/>
        <v>1496.5212375819979</v>
      </c>
      <c r="G21" s="1">
        <f>forecast!M93</f>
        <v>2993.0424751639953</v>
      </c>
      <c r="H21" s="1">
        <f t="shared" si="6"/>
        <v>1496.5212375819976</v>
      </c>
      <c r="I21" t="str">
        <f t="shared" si="2"/>
        <v>HEALTHY</v>
      </c>
    </row>
    <row r="22" spans="1:9" x14ac:dyDescent="0.2">
      <c r="A22" s="5">
        <v>45536</v>
      </c>
      <c r="B22" s="4" t="s">
        <v>58</v>
      </c>
      <c r="C22" s="4">
        <v>7</v>
      </c>
      <c r="D22" s="1">
        <f t="shared" si="5"/>
        <v>1496.5212375819979</v>
      </c>
      <c r="E22" s="1">
        <f t="shared" si="4"/>
        <v>2516.9207658270352</v>
      </c>
      <c r="F22" s="1">
        <f t="shared" si="0"/>
        <v>1337.8140011363444</v>
      </c>
      <c r="G22" s="1">
        <f>forecast!M94</f>
        <v>2675.6280022726887</v>
      </c>
      <c r="H22" s="1">
        <f t="shared" si="6"/>
        <v>1337.8140011363444</v>
      </c>
      <c r="I22" t="str">
        <f t="shared" si="2"/>
        <v>HEALTHY</v>
      </c>
    </row>
    <row r="23" spans="1:9" x14ac:dyDescent="0.2">
      <c r="A23" s="5">
        <v>45566</v>
      </c>
      <c r="B23" s="4" t="s">
        <v>58</v>
      </c>
      <c r="C23" s="4">
        <v>7</v>
      </c>
      <c r="D23" s="1">
        <f t="shared" si="5"/>
        <v>1337.8140011363444</v>
      </c>
      <c r="E23" s="1">
        <f t="shared" si="4"/>
        <v>2961.3010278748638</v>
      </c>
      <c r="F23" s="1">
        <f t="shared" si="0"/>
        <v>1433.0383430037359</v>
      </c>
      <c r="G23" s="1">
        <f>forecast!M95</f>
        <v>2866.0766860074723</v>
      </c>
      <c r="H23" s="1">
        <f t="shared" si="6"/>
        <v>1433.0383430037361</v>
      </c>
      <c r="I23" t="str">
        <f t="shared" si="2"/>
        <v>HEALTHY</v>
      </c>
    </row>
    <row r="24" spans="1:9" x14ac:dyDescent="0.2">
      <c r="A24" s="5">
        <v>45597</v>
      </c>
      <c r="B24" s="4" t="s">
        <v>58</v>
      </c>
      <c r="C24" s="4">
        <v>7</v>
      </c>
      <c r="D24" s="1">
        <f t="shared" si="5"/>
        <v>1433.0383430037359</v>
      </c>
      <c r="E24" s="1">
        <f t="shared" si="4"/>
        <v>3092.9400320242435</v>
      </c>
      <c r="F24" s="1">
        <f t="shared" si="0"/>
        <v>1508.6594583426599</v>
      </c>
      <c r="G24" s="1">
        <f>forecast!M96</f>
        <v>3017.3189166853194</v>
      </c>
      <c r="H24" s="1">
        <f t="shared" si="6"/>
        <v>1508.6594583426597</v>
      </c>
      <c r="I24" t="str">
        <f t="shared" si="2"/>
        <v>HEALTHY</v>
      </c>
    </row>
    <row r="25" spans="1:9" x14ac:dyDescent="0.2">
      <c r="A25" s="5">
        <v>45627</v>
      </c>
      <c r="B25" s="4" t="s">
        <v>58</v>
      </c>
      <c r="C25" s="4">
        <v>7</v>
      </c>
      <c r="D25" s="1">
        <f t="shared" si="5"/>
        <v>1508.6594583426599</v>
      </c>
      <c r="E25" s="1">
        <f t="shared" si="4"/>
        <v>3244.1822627020879</v>
      </c>
      <c r="F25" s="1">
        <f t="shared" si="0"/>
        <v>1584.2805736815826</v>
      </c>
      <c r="G25" s="1">
        <f>forecast!M97</f>
        <v>3168.5611473631652</v>
      </c>
      <c r="H25" s="1">
        <f t="shared" si="6"/>
        <v>1584.2805736815826</v>
      </c>
      <c r="I25" t="str">
        <f t="shared" si="2"/>
        <v>HEALTHY</v>
      </c>
    </row>
    <row r="26" spans="1:9" x14ac:dyDescent="0.2">
      <c r="A26" s="5">
        <v>45292</v>
      </c>
      <c r="B26" s="4" t="s">
        <v>57</v>
      </c>
      <c r="C26" s="4">
        <v>30</v>
      </c>
      <c r="D26" s="1">
        <f>data!H73</f>
        <v>900</v>
      </c>
      <c r="E26" s="1">
        <f t="shared" si="4"/>
        <v>715.96938775510239</v>
      </c>
      <c r="F26" s="1">
        <f t="shared" si="0"/>
        <v>807.98469387755119</v>
      </c>
      <c r="G26" s="1">
        <f>forecast!M98</f>
        <v>807.98469387755119</v>
      </c>
      <c r="H26" s="1">
        <f>G26*$O$7</f>
        <v>807.98469387755119</v>
      </c>
      <c r="I26" t="str">
        <f t="shared" si="2"/>
        <v>HEALTHY</v>
      </c>
    </row>
    <row r="27" spans="1:9" x14ac:dyDescent="0.2">
      <c r="A27" s="5">
        <v>45323</v>
      </c>
      <c r="B27" s="4" t="s">
        <v>57</v>
      </c>
      <c r="C27" s="4">
        <v>30</v>
      </c>
      <c r="D27" s="1">
        <f t="shared" ref="D27:D37" si="7">F26</f>
        <v>807.98469387755119</v>
      </c>
      <c r="E27" s="1">
        <f t="shared" si="4"/>
        <v>954.36224489795916</v>
      </c>
      <c r="F27" s="1">
        <f t="shared" si="0"/>
        <v>881.17346938775518</v>
      </c>
      <c r="G27" s="1">
        <f>forecast!M99</f>
        <v>881.17346938775518</v>
      </c>
      <c r="H27" s="1">
        <f t="shared" ref="H27:H37" si="8">G27*$O$7</f>
        <v>881.17346938775518</v>
      </c>
      <c r="I27" t="str">
        <f t="shared" si="2"/>
        <v>HEALTHY</v>
      </c>
    </row>
    <row r="28" spans="1:9" x14ac:dyDescent="0.2">
      <c r="A28" s="5">
        <v>45352</v>
      </c>
      <c r="B28" s="4" t="s">
        <v>57</v>
      </c>
      <c r="C28" s="4">
        <v>30</v>
      </c>
      <c r="D28" s="1">
        <f t="shared" si="7"/>
        <v>881.17346938775518</v>
      </c>
      <c r="E28" s="1">
        <f t="shared" si="4"/>
        <v>946.12244897959226</v>
      </c>
      <c r="F28" s="1">
        <f t="shared" si="0"/>
        <v>913.64795918367372</v>
      </c>
      <c r="G28" s="1">
        <f>forecast!M100</f>
        <v>913.64795918367372</v>
      </c>
      <c r="H28" s="1">
        <f t="shared" si="8"/>
        <v>913.64795918367372</v>
      </c>
      <c r="I28" t="str">
        <f t="shared" si="2"/>
        <v>HEALTHY</v>
      </c>
    </row>
    <row r="29" spans="1:9" x14ac:dyDescent="0.2">
      <c r="A29" s="5">
        <v>45383</v>
      </c>
      <c r="B29" s="4" t="s">
        <v>57</v>
      </c>
      <c r="C29" s="4">
        <v>30</v>
      </c>
      <c r="D29" s="1">
        <f t="shared" si="7"/>
        <v>913.64795918367372</v>
      </c>
      <c r="E29" s="1">
        <f t="shared" si="4"/>
        <v>2280.4846938775513</v>
      </c>
      <c r="F29" s="1">
        <f t="shared" si="0"/>
        <v>1597.0663265306125</v>
      </c>
      <c r="G29" s="1">
        <f>forecast!M101</f>
        <v>1597.0663265306125</v>
      </c>
      <c r="H29" s="1">
        <f t="shared" si="8"/>
        <v>1597.0663265306125</v>
      </c>
      <c r="I29" t="str">
        <f t="shared" si="2"/>
        <v>HEALTHY</v>
      </c>
    </row>
    <row r="30" spans="1:9" x14ac:dyDescent="0.2">
      <c r="A30" s="5">
        <v>45413</v>
      </c>
      <c r="B30" s="4" t="s">
        <v>57</v>
      </c>
      <c r="C30" s="4">
        <v>30</v>
      </c>
      <c r="D30" s="1">
        <f t="shared" si="7"/>
        <v>1597.0663265306125</v>
      </c>
      <c r="E30" s="1">
        <f t="shared" si="4"/>
        <v>525.89285714285734</v>
      </c>
      <c r="F30" s="1">
        <f t="shared" si="0"/>
        <v>1061.4795918367349</v>
      </c>
      <c r="G30" s="1">
        <f>forecast!M102</f>
        <v>1061.4795918367349</v>
      </c>
      <c r="H30" s="1">
        <f t="shared" si="8"/>
        <v>1061.4795918367349</v>
      </c>
      <c r="I30" t="str">
        <f t="shared" si="2"/>
        <v>HEALTHY</v>
      </c>
    </row>
    <row r="31" spans="1:9" x14ac:dyDescent="0.2">
      <c r="A31" s="5">
        <v>45444</v>
      </c>
      <c r="B31" s="4" t="s">
        <v>57</v>
      </c>
      <c r="C31" s="4">
        <v>30</v>
      </c>
      <c r="D31" s="1">
        <f t="shared" si="7"/>
        <v>1061.4795918367349</v>
      </c>
      <c r="E31" s="1">
        <f t="shared" si="4"/>
        <v>833.67346938775518</v>
      </c>
      <c r="F31" s="1">
        <f t="shared" si="0"/>
        <v>947.57653061224505</v>
      </c>
      <c r="G31" s="1">
        <f>forecast!M103</f>
        <v>947.57653061224505</v>
      </c>
      <c r="H31" s="1">
        <f t="shared" si="8"/>
        <v>947.57653061224505</v>
      </c>
      <c r="I31" t="str">
        <f t="shared" si="2"/>
        <v>HEALTHY</v>
      </c>
    </row>
    <row r="32" spans="1:9" x14ac:dyDescent="0.2">
      <c r="A32" s="5">
        <v>45474</v>
      </c>
      <c r="B32" s="4" t="s">
        <v>57</v>
      </c>
      <c r="C32" s="4">
        <v>30</v>
      </c>
      <c r="D32" s="1">
        <f t="shared" si="7"/>
        <v>947.57653061224505</v>
      </c>
      <c r="E32" s="1">
        <f>MAX(0,H32+G32-D32)</f>
        <v>1243.2397959183675</v>
      </c>
      <c r="F32" s="1">
        <f t="shared" si="0"/>
        <v>1095.4081632653063</v>
      </c>
      <c r="G32" s="1">
        <f>forecast!M104</f>
        <v>1095.4081632653063</v>
      </c>
      <c r="H32" s="1">
        <f t="shared" si="8"/>
        <v>1095.4081632653063</v>
      </c>
      <c r="I32" t="str">
        <f t="shared" si="2"/>
        <v>HEALTHY</v>
      </c>
    </row>
    <row r="33" spans="1:9" x14ac:dyDescent="0.2">
      <c r="A33" s="5">
        <v>45505</v>
      </c>
      <c r="B33" s="4" t="s">
        <v>57</v>
      </c>
      <c r="C33" s="4">
        <v>30</v>
      </c>
      <c r="D33" s="1">
        <f t="shared" si="7"/>
        <v>1095.4081632653063</v>
      </c>
      <c r="E33" s="1">
        <f t="shared" si="4"/>
        <v>2505.8673469387759</v>
      </c>
      <c r="F33" s="1">
        <f t="shared" si="0"/>
        <v>1800.637755102041</v>
      </c>
      <c r="G33" s="1">
        <f>forecast!M105</f>
        <v>1800.637755102041</v>
      </c>
      <c r="H33" s="1">
        <f t="shared" si="8"/>
        <v>1800.637755102041</v>
      </c>
      <c r="I33" t="str">
        <f t="shared" si="2"/>
        <v>HEALTHY</v>
      </c>
    </row>
    <row r="34" spans="1:9" x14ac:dyDescent="0.2">
      <c r="A34" s="5">
        <v>45536</v>
      </c>
      <c r="B34" s="4" t="s">
        <v>57</v>
      </c>
      <c r="C34" s="4">
        <v>30</v>
      </c>
      <c r="D34" s="1">
        <f t="shared" si="7"/>
        <v>1800.637755102041</v>
      </c>
      <c r="E34" s="1">
        <f t="shared" si="4"/>
        <v>70.280612244898066</v>
      </c>
      <c r="F34" s="1">
        <f t="shared" si="0"/>
        <v>935.45918367346951</v>
      </c>
      <c r="G34" s="1">
        <f>forecast!M106</f>
        <v>935.45918367346951</v>
      </c>
      <c r="H34" s="1">
        <f t="shared" si="8"/>
        <v>935.45918367346951</v>
      </c>
      <c r="I34" t="str">
        <f t="shared" si="2"/>
        <v>HEALTHY</v>
      </c>
    </row>
    <row r="35" spans="1:9" x14ac:dyDescent="0.2">
      <c r="A35" s="5">
        <v>45566</v>
      </c>
      <c r="B35" s="4" t="s">
        <v>57</v>
      </c>
      <c r="C35" s="4">
        <v>30</v>
      </c>
      <c r="D35" s="1">
        <f t="shared" si="7"/>
        <v>935.45918367346951</v>
      </c>
      <c r="E35" s="1">
        <f t="shared" si="4"/>
        <v>2670.6632653061233</v>
      </c>
      <c r="F35" s="1">
        <f t="shared" si="0"/>
        <v>1803.0612244897964</v>
      </c>
      <c r="G35" s="1">
        <f>forecast!M107</f>
        <v>1803.0612244897964</v>
      </c>
      <c r="H35" s="1">
        <f t="shared" si="8"/>
        <v>1803.0612244897964</v>
      </c>
      <c r="I35" t="str">
        <f t="shared" si="2"/>
        <v>HEALTHY</v>
      </c>
    </row>
    <row r="36" spans="1:9" x14ac:dyDescent="0.2">
      <c r="A36" s="5">
        <v>45597</v>
      </c>
      <c r="B36" s="4" t="s">
        <v>57</v>
      </c>
      <c r="C36" s="4">
        <v>30</v>
      </c>
      <c r="D36" s="1">
        <f t="shared" si="7"/>
        <v>1803.0612244897964</v>
      </c>
      <c r="E36" s="1">
        <f t="shared" si="4"/>
        <v>455.61224489795927</v>
      </c>
      <c r="F36" s="1">
        <f t="shared" si="0"/>
        <v>1129.3367346938778</v>
      </c>
      <c r="G36" s="1">
        <f>forecast!M108</f>
        <v>1129.3367346938778</v>
      </c>
      <c r="H36" s="1">
        <f t="shared" si="8"/>
        <v>1129.3367346938778</v>
      </c>
      <c r="I36" t="str">
        <f t="shared" si="2"/>
        <v>HEALTHY</v>
      </c>
    </row>
    <row r="37" spans="1:9" x14ac:dyDescent="0.2">
      <c r="A37" s="5">
        <v>45627</v>
      </c>
      <c r="B37" s="4" t="s">
        <v>57</v>
      </c>
      <c r="C37" s="4">
        <v>30</v>
      </c>
      <c r="D37" s="1">
        <f t="shared" si="7"/>
        <v>1129.3367346938778</v>
      </c>
      <c r="E37" s="1">
        <f t="shared" si="4"/>
        <v>1289.2857142857144</v>
      </c>
      <c r="F37" s="1">
        <f t="shared" si="0"/>
        <v>1209.3112244897961</v>
      </c>
      <c r="G37" s="1">
        <f>forecast!M109</f>
        <v>1209.3112244897961</v>
      </c>
      <c r="H37" s="1">
        <f t="shared" si="8"/>
        <v>1209.3112244897961</v>
      </c>
      <c r="I37" t="str">
        <f t="shared" si="2"/>
        <v>HEALTHY</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0EE69-3339-8148-A768-A1F03679C042}">
  <sheetPr>
    <tabColor theme="7" tint="0.59999389629810485"/>
  </sheetPr>
  <dimension ref="A3:E16"/>
  <sheetViews>
    <sheetView workbookViewId="0">
      <selection activeCell="J33" sqref="J33"/>
    </sheetView>
  </sheetViews>
  <sheetFormatPr baseColWidth="10" defaultRowHeight="16" x14ac:dyDescent="0.2"/>
  <cols>
    <col min="1" max="1" width="10.5" bestFit="1" customWidth="1"/>
    <col min="2" max="2" width="18.5" bestFit="1" customWidth="1"/>
    <col min="3" max="3" width="19.83203125" bestFit="1" customWidth="1"/>
    <col min="4" max="4" width="18" bestFit="1" customWidth="1"/>
    <col min="5" max="5" width="13.6640625" bestFit="1" customWidth="1"/>
    <col min="6" max="6" width="16" bestFit="1" customWidth="1"/>
    <col min="7" max="7" width="12.1640625" bestFit="1" customWidth="1"/>
    <col min="8" max="8" width="18" bestFit="1" customWidth="1"/>
    <col min="9" max="10" width="12.1640625" bestFit="1" customWidth="1"/>
    <col min="11" max="11" width="13.6640625" bestFit="1" customWidth="1"/>
    <col min="12" max="13" width="12.1640625" bestFit="1" customWidth="1"/>
    <col min="14" max="14" width="24.33203125" bestFit="1" customWidth="1"/>
    <col min="15" max="15" width="23" bestFit="1" customWidth="1"/>
    <col min="16" max="16" width="22.5" bestFit="1" customWidth="1"/>
    <col min="17" max="17" width="18.1640625" bestFit="1" customWidth="1"/>
  </cols>
  <sheetData>
    <row r="3" spans="1:5" x14ac:dyDescent="0.2">
      <c r="A3" s="2" t="s">
        <v>5</v>
      </c>
      <c r="B3" t="s">
        <v>78</v>
      </c>
      <c r="C3" t="s">
        <v>66</v>
      </c>
      <c r="D3" t="s">
        <v>77</v>
      </c>
      <c r="E3" t="s">
        <v>86</v>
      </c>
    </row>
    <row r="4" spans="1:5" x14ac:dyDescent="0.2">
      <c r="A4" s="18">
        <v>45292</v>
      </c>
      <c r="B4" s="1">
        <v>4201.7475640448029</v>
      </c>
      <c r="C4" s="1">
        <v>2666.2815722869786</v>
      </c>
      <c r="D4" s="1">
        <v>1130.8155805291547</v>
      </c>
      <c r="E4" s="1">
        <v>3070.9319835156484</v>
      </c>
    </row>
    <row r="5" spans="1:5" x14ac:dyDescent="0.2">
      <c r="A5" s="18">
        <v>45323</v>
      </c>
      <c r="B5" s="1">
        <v>4240.0043933632478</v>
      </c>
      <c r="C5" s="1">
        <v>2690.5580138083028</v>
      </c>
      <c r="D5" s="1">
        <v>1141.1116342533574</v>
      </c>
      <c r="E5" s="1">
        <v>3098.8927591098904</v>
      </c>
    </row>
    <row r="6" spans="1:5" x14ac:dyDescent="0.2">
      <c r="A6" s="18">
        <v>45352</v>
      </c>
      <c r="B6" s="1">
        <v>4678.4276573526258</v>
      </c>
      <c r="C6" s="1">
        <v>2968.7660336426716</v>
      </c>
      <c r="D6" s="1">
        <v>1259.1044099327173</v>
      </c>
      <c r="E6" s="1">
        <v>3419.3232474199085</v>
      </c>
    </row>
    <row r="7" spans="1:5" x14ac:dyDescent="0.2">
      <c r="A7" s="18">
        <v>45383</v>
      </c>
      <c r="B7" s="1">
        <v>4524.4439193458857</v>
      </c>
      <c r="C7" s="1">
        <v>2871.0533565193441</v>
      </c>
      <c r="D7" s="1">
        <v>1217.6627936928026</v>
      </c>
      <c r="E7" s="1">
        <v>3306.7811256530831</v>
      </c>
    </row>
    <row r="8" spans="1:5" x14ac:dyDescent="0.2">
      <c r="A8" s="18">
        <v>45413</v>
      </c>
      <c r="B8" s="1">
        <v>4278.2612226816927</v>
      </c>
      <c r="C8" s="1">
        <v>2714.8344553296261</v>
      </c>
      <c r="D8" s="1">
        <v>1151.4076879775596</v>
      </c>
      <c r="E8" s="1">
        <v>3126.8535347041334</v>
      </c>
    </row>
    <row r="9" spans="1:5" x14ac:dyDescent="0.2">
      <c r="A9" s="18">
        <v>45444</v>
      </c>
      <c r="B9" s="1">
        <v>2400.9986080256017</v>
      </c>
      <c r="C9" s="1">
        <v>1523.5894698782736</v>
      </c>
      <c r="D9" s="1">
        <v>646.18033173094557</v>
      </c>
      <c r="E9" s="1">
        <v>1754.8182762946562</v>
      </c>
    </row>
    <row r="10" spans="1:5" x14ac:dyDescent="0.2">
      <c r="A10" s="18">
        <v>45474</v>
      </c>
      <c r="B10" s="1">
        <v>4478.3444400171584</v>
      </c>
      <c r="C10" s="1">
        <v>2841.8002444861486</v>
      </c>
      <c r="D10" s="1">
        <v>1205.2560489551383</v>
      </c>
      <c r="E10" s="1">
        <v>3273.08839106202</v>
      </c>
    </row>
    <row r="11" spans="1:5" x14ac:dyDescent="0.2">
      <c r="A11" s="18">
        <v>45505</v>
      </c>
      <c r="B11" s="1">
        <v>4716.6844866710708</v>
      </c>
      <c r="C11" s="1">
        <v>2993.0424751639953</v>
      </c>
      <c r="D11" s="1">
        <v>1269.4004636569198</v>
      </c>
      <c r="E11" s="1">
        <v>3447.284023014151</v>
      </c>
    </row>
    <row r="12" spans="1:5" x14ac:dyDescent="0.2">
      <c r="A12" s="18">
        <v>45536</v>
      </c>
      <c r="B12" s="1">
        <v>4216.4764433324044</v>
      </c>
      <c r="C12" s="1">
        <v>2675.6280022726887</v>
      </c>
      <c r="D12" s="1">
        <v>1134.7795612129728</v>
      </c>
      <c r="E12" s="1">
        <v>3081.6968821194314</v>
      </c>
    </row>
    <row r="13" spans="1:5" x14ac:dyDescent="0.2">
      <c r="A13" s="18">
        <v>45566</v>
      </c>
      <c r="B13" s="1">
        <v>4516.6012693356033</v>
      </c>
      <c r="C13" s="1">
        <v>2866.0766860074723</v>
      </c>
      <c r="D13" s="1">
        <v>1215.5521026793408</v>
      </c>
      <c r="E13" s="1">
        <v>3301.0491666562625</v>
      </c>
    </row>
    <row r="14" spans="1:5" x14ac:dyDescent="0.2">
      <c r="A14" s="18">
        <v>45597</v>
      </c>
      <c r="B14" s="1">
        <v>4754.9413159895166</v>
      </c>
      <c r="C14" s="1">
        <v>3017.3189166853194</v>
      </c>
      <c r="D14" s="1">
        <v>1279.6965173811222</v>
      </c>
      <c r="E14" s="1">
        <v>3475.2447986083944</v>
      </c>
    </row>
    <row r="15" spans="1:5" x14ac:dyDescent="0.2">
      <c r="A15" s="18">
        <v>45627</v>
      </c>
      <c r="B15" s="1">
        <v>4993.2813626434272</v>
      </c>
      <c r="C15" s="1">
        <v>3168.5611473631652</v>
      </c>
      <c r="D15" s="1">
        <v>1343.8409320829032</v>
      </c>
      <c r="E15" s="1">
        <v>3649.440430560524</v>
      </c>
    </row>
    <row r="16" spans="1:5" x14ac:dyDescent="0.2">
      <c r="A16" s="18" t="s">
        <v>85</v>
      </c>
      <c r="B16" s="17">
        <v>52000.212682803038</v>
      </c>
      <c r="C16" s="17">
        <v>32997.510373443991</v>
      </c>
      <c r="D16" s="17">
        <v>13994.808064084935</v>
      </c>
      <c r="E16" s="17">
        <v>38005.404618718108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A4EF-C4D0-5B41-B48C-9E349AC94EB0}">
  <sheetPr>
    <tabColor theme="2" tint="-9.9978637043366805E-2"/>
  </sheetPr>
  <dimension ref="A1:V109"/>
  <sheetViews>
    <sheetView topLeftCell="A2" zoomScale="75" workbookViewId="0">
      <selection sqref="A1:Q109"/>
    </sheetView>
  </sheetViews>
  <sheetFormatPr baseColWidth="10" defaultRowHeight="16" x14ac:dyDescent="0.2"/>
  <cols>
    <col min="1" max="1" width="11.33203125" bestFit="1" customWidth="1"/>
    <col min="2" max="2" width="12" customWidth="1"/>
    <col min="3" max="3" width="11.83203125" customWidth="1"/>
    <col min="5" max="5" width="13.33203125" customWidth="1"/>
    <col min="6" max="6" width="11.83203125" customWidth="1"/>
    <col min="7" max="7" width="16.1640625" customWidth="1"/>
    <col min="9" max="9" width="17.6640625" bestFit="1" customWidth="1"/>
    <col min="10" max="10" width="17.33203125" customWidth="1"/>
    <col min="11" max="11" width="16.6640625" customWidth="1"/>
    <col min="12" max="13" width="18" customWidth="1"/>
    <col min="14" max="14" width="15.6640625" bestFit="1" customWidth="1"/>
    <col min="15" max="15" width="16" customWidth="1"/>
    <col min="16" max="16" width="15.5" customWidth="1"/>
    <col min="17" max="17" width="12.5" bestFit="1" customWidth="1"/>
    <col min="18" max="18" width="14.5" bestFit="1" customWidth="1"/>
    <col min="19" max="19" width="17" bestFit="1" customWidth="1"/>
    <col min="20" max="20" width="19" bestFit="1" customWidth="1"/>
    <col min="21" max="22" width="9.5" bestFit="1" customWidth="1"/>
    <col min="23" max="53" width="5.33203125" bestFit="1" customWidth="1"/>
    <col min="54" max="54" width="7" bestFit="1" customWidth="1"/>
    <col min="55" max="55" width="10.5" bestFit="1" customWidth="1"/>
  </cols>
  <sheetData>
    <row r="1" spans="1:22" x14ac:dyDescent="0.2">
      <c r="A1" s="3" t="s">
        <v>5</v>
      </c>
      <c r="B1" s="3" t="s">
        <v>0</v>
      </c>
      <c r="C1" s="3" t="s">
        <v>4</v>
      </c>
      <c r="D1" s="3" t="s">
        <v>3</v>
      </c>
      <c r="E1" s="3" t="s">
        <v>6</v>
      </c>
      <c r="F1" s="3" t="s">
        <v>7</v>
      </c>
      <c r="G1" s="3" t="s">
        <v>26</v>
      </c>
      <c r="H1" s="3" t="s">
        <v>8</v>
      </c>
      <c r="I1" s="3" t="s">
        <v>27</v>
      </c>
      <c r="J1" s="3" t="s">
        <v>59</v>
      </c>
      <c r="K1" s="3" t="s">
        <v>63</v>
      </c>
      <c r="L1" s="3" t="s">
        <v>64</v>
      </c>
      <c r="M1" s="3" t="s">
        <v>65</v>
      </c>
      <c r="N1" s="3" t="s">
        <v>73</v>
      </c>
      <c r="O1" s="3" t="s">
        <v>29</v>
      </c>
      <c r="P1" s="3" t="s">
        <v>75</v>
      </c>
      <c r="Q1" s="3" t="s">
        <v>79</v>
      </c>
      <c r="T1" s="9" t="s">
        <v>1</v>
      </c>
      <c r="U1" s="9" t="s">
        <v>58</v>
      </c>
      <c r="V1" s="9" t="s">
        <v>57</v>
      </c>
    </row>
    <row r="2" spans="1:22" x14ac:dyDescent="0.2">
      <c r="A2" s="5">
        <v>44562</v>
      </c>
      <c r="B2" s="4" t="s">
        <v>1</v>
      </c>
      <c r="C2" s="4">
        <v>1200</v>
      </c>
      <c r="D2" s="4">
        <v>1150</v>
      </c>
      <c r="E2" s="4">
        <v>14</v>
      </c>
      <c r="F2" s="4">
        <v>2000</v>
      </c>
      <c r="G2" s="4">
        <v>1250</v>
      </c>
      <c r="H2" s="4">
        <v>2100</v>
      </c>
      <c r="I2" s="4" t="s">
        <v>31</v>
      </c>
      <c r="K2" s="6">
        <f t="shared" ref="K2:K13" si="0">D2/AVERAGEIFS($D$2:$D$73,$B$2:$B$73,B2,$A$2:$A$73,"&lt;2023-1-1")</f>
        <v>0.6216216216216216</v>
      </c>
      <c r="L2" s="6"/>
      <c r="N2" s="8">
        <f t="shared" ref="N2:N33" si="1">(D2-C2)/C2</f>
        <v>-4.1666666666666664E-2</v>
      </c>
      <c r="S2" s="9" t="s">
        <v>61</v>
      </c>
      <c r="T2" s="13">
        <f>SUMIFS($D$2:$D$73, $B$2:$B$73, "Electronics",$A$2:$A$73, "&lt;2023-01-01")</f>
        <v>22200</v>
      </c>
      <c r="U2" s="10">
        <f>SUMIFS($D$2:$D$73, $B$2:$B$73, "Basics",$A$2:$A$73, "&lt;2023-01-01")</f>
        <v>24100</v>
      </c>
      <c r="V2" s="10">
        <f>SUMIFS($D$2:$D$73, $B$2:$B$73, "Office",$A$2:$A$73, "&lt;2023-01-01")</f>
        <v>7700</v>
      </c>
    </row>
    <row r="3" spans="1:22" x14ac:dyDescent="0.2">
      <c r="A3" s="5">
        <v>44593</v>
      </c>
      <c r="B3" s="4" t="s">
        <v>1</v>
      </c>
      <c r="C3" s="4">
        <v>1150</v>
      </c>
      <c r="D3" s="4">
        <v>1250</v>
      </c>
      <c r="E3" s="4">
        <v>14</v>
      </c>
      <c r="F3" s="4">
        <v>2100</v>
      </c>
      <c r="G3" s="4">
        <v>1200</v>
      </c>
      <c r="H3" s="4">
        <v>2050</v>
      </c>
      <c r="I3" s="4" t="s">
        <v>31</v>
      </c>
      <c r="K3" s="6">
        <f t="shared" si="0"/>
        <v>0.67567567567567566</v>
      </c>
      <c r="L3" s="6"/>
      <c r="N3" s="8">
        <f t="shared" si="1"/>
        <v>8.6956521739130432E-2</v>
      </c>
      <c r="S3" s="12" t="s">
        <v>62</v>
      </c>
      <c r="T3" s="10">
        <f>SUMIFS($D$2:$D$73, $B$2:$B$73, "Electronics",$A$2:$A$73, "&gt;=2023-01-01")</f>
        <v>23850</v>
      </c>
      <c r="U3" s="10">
        <f>SUMIFS($D$2:$D$73, $B$2:$B$73, "Basics",$A$2:$A$73, "&gt;=2023-01-01")</f>
        <v>28200</v>
      </c>
      <c r="V3" s="10">
        <f>SUMIFS($D$2:$D$73, $B$2:$B$73, "Office",$A$2:$A$73, "&gt;=2023-01-01")</f>
        <v>10450</v>
      </c>
    </row>
    <row r="4" spans="1:22" x14ac:dyDescent="0.2">
      <c r="A4" s="5">
        <v>44621</v>
      </c>
      <c r="B4" s="4" t="s">
        <v>1</v>
      </c>
      <c r="C4" s="4">
        <v>1300</v>
      </c>
      <c r="D4" s="4">
        <v>1400</v>
      </c>
      <c r="E4" s="4">
        <v>15</v>
      </c>
      <c r="F4" s="4">
        <v>2050</v>
      </c>
      <c r="G4" s="4">
        <v>1350</v>
      </c>
      <c r="H4" s="4">
        <v>2000</v>
      </c>
      <c r="I4" s="4" t="s">
        <v>32</v>
      </c>
      <c r="K4" s="6">
        <f t="shared" si="0"/>
        <v>0.7567567567567568</v>
      </c>
      <c r="L4" s="6"/>
      <c r="N4" s="8">
        <f t="shared" si="1"/>
        <v>7.6923076923076927E-2</v>
      </c>
      <c r="S4" s="9" t="s">
        <v>60</v>
      </c>
      <c r="T4" s="11">
        <f>(T3-T2)/T2</f>
        <v>7.4324324324324328E-2</v>
      </c>
      <c r="U4" s="11">
        <f>(U3-U2)/U2</f>
        <v>0.17012448132780084</v>
      </c>
      <c r="V4" s="11">
        <f>(V3-V2)/V2</f>
        <v>0.35714285714285715</v>
      </c>
    </row>
    <row r="5" spans="1:22" x14ac:dyDescent="0.2">
      <c r="A5" s="5">
        <v>44652</v>
      </c>
      <c r="B5" s="4" t="s">
        <v>1</v>
      </c>
      <c r="C5" s="4">
        <v>1250</v>
      </c>
      <c r="D5" s="4">
        <v>1600</v>
      </c>
      <c r="E5" s="4">
        <v>14</v>
      </c>
      <c r="F5" s="4">
        <v>2000</v>
      </c>
      <c r="G5" s="4">
        <v>1300</v>
      </c>
      <c r="H5" s="4">
        <v>1700</v>
      </c>
      <c r="I5" s="4" t="s">
        <v>47</v>
      </c>
      <c r="K5" s="6">
        <f t="shared" si="0"/>
        <v>0.86486486486486491</v>
      </c>
      <c r="L5" s="6"/>
      <c r="N5" s="8">
        <f t="shared" si="1"/>
        <v>0.28000000000000003</v>
      </c>
    </row>
    <row r="6" spans="1:22" x14ac:dyDescent="0.2">
      <c r="A6" s="5">
        <v>44682</v>
      </c>
      <c r="B6" s="4" t="s">
        <v>1</v>
      </c>
      <c r="C6" s="4">
        <v>1400</v>
      </c>
      <c r="D6" s="4">
        <v>1900</v>
      </c>
      <c r="E6" s="4">
        <v>16</v>
      </c>
      <c r="F6" s="4">
        <v>1700</v>
      </c>
      <c r="G6" s="4">
        <v>1450</v>
      </c>
      <c r="H6" s="4">
        <v>1250</v>
      </c>
      <c r="I6" s="4" t="s">
        <v>34</v>
      </c>
      <c r="K6" s="6">
        <f t="shared" si="0"/>
        <v>1.027027027027027</v>
      </c>
      <c r="L6" s="6"/>
      <c r="N6" s="8">
        <f t="shared" si="1"/>
        <v>0.35714285714285715</v>
      </c>
      <c r="S6" s="9" t="s">
        <v>74</v>
      </c>
      <c r="T6" s="14">
        <f>_xlfn.STDEV.P(N2:N73)</f>
        <v>0.29381781142155078</v>
      </c>
    </row>
    <row r="7" spans="1:22" x14ac:dyDescent="0.2">
      <c r="A7" s="5">
        <v>44713</v>
      </c>
      <c r="B7" s="4" t="s">
        <v>1</v>
      </c>
      <c r="C7" s="4">
        <v>1600</v>
      </c>
      <c r="D7" s="4">
        <v>1800</v>
      </c>
      <c r="E7" s="4">
        <v>14</v>
      </c>
      <c r="F7" s="4">
        <v>1250</v>
      </c>
      <c r="G7" s="4">
        <v>2100</v>
      </c>
      <c r="H7" s="4">
        <v>1550</v>
      </c>
      <c r="I7" s="4" t="s">
        <v>37</v>
      </c>
      <c r="K7" s="6">
        <f t="shared" si="0"/>
        <v>0.97297297297297303</v>
      </c>
      <c r="L7" s="6"/>
      <c r="N7" s="8">
        <f t="shared" si="1"/>
        <v>0.125</v>
      </c>
      <c r="S7" s="9" t="s">
        <v>76</v>
      </c>
      <c r="T7" s="9">
        <v>1.96</v>
      </c>
    </row>
    <row r="8" spans="1:22" x14ac:dyDescent="0.2">
      <c r="A8" s="5">
        <v>44743</v>
      </c>
      <c r="B8" s="4" t="s">
        <v>1</v>
      </c>
      <c r="C8" s="4">
        <v>1900</v>
      </c>
      <c r="D8" s="4">
        <v>1850</v>
      </c>
      <c r="E8" s="4">
        <v>18</v>
      </c>
      <c r="F8" s="4">
        <v>1550</v>
      </c>
      <c r="G8" s="4">
        <v>1950</v>
      </c>
      <c r="H8" s="4">
        <v>1650</v>
      </c>
      <c r="I8" s="4" t="s">
        <v>39</v>
      </c>
      <c r="K8" s="6">
        <f t="shared" si="0"/>
        <v>1</v>
      </c>
      <c r="L8" s="6"/>
      <c r="N8" s="8">
        <f t="shared" si="1"/>
        <v>-2.6315789473684209E-2</v>
      </c>
    </row>
    <row r="9" spans="1:22" x14ac:dyDescent="0.2">
      <c r="A9" s="5">
        <v>44774</v>
      </c>
      <c r="B9" s="4" t="s">
        <v>1</v>
      </c>
      <c r="C9" s="4">
        <v>1500</v>
      </c>
      <c r="D9" s="4">
        <v>1400</v>
      </c>
      <c r="E9" s="4">
        <v>14</v>
      </c>
      <c r="F9" s="4">
        <v>1650</v>
      </c>
      <c r="G9" s="4">
        <v>1550</v>
      </c>
      <c r="H9" s="4">
        <v>1800</v>
      </c>
      <c r="I9" s="4" t="s">
        <v>51</v>
      </c>
      <c r="K9" s="6">
        <f t="shared" si="0"/>
        <v>0.7567567567567568</v>
      </c>
      <c r="L9" s="6"/>
      <c r="N9" s="8">
        <f t="shared" si="1"/>
        <v>-6.6666666666666666E-2</v>
      </c>
    </row>
    <row r="10" spans="1:22" x14ac:dyDescent="0.2">
      <c r="A10" s="5">
        <v>44805</v>
      </c>
      <c r="B10" s="4" t="s">
        <v>1</v>
      </c>
      <c r="C10" s="4">
        <v>1450</v>
      </c>
      <c r="D10" s="4">
        <v>1400</v>
      </c>
      <c r="E10" s="4">
        <v>14</v>
      </c>
      <c r="F10" s="4">
        <v>1800</v>
      </c>
      <c r="G10" s="4">
        <v>1500</v>
      </c>
      <c r="H10" s="4">
        <v>1900</v>
      </c>
      <c r="I10" s="4" t="s">
        <v>14</v>
      </c>
      <c r="K10" s="6">
        <f t="shared" si="0"/>
        <v>0.7567567567567568</v>
      </c>
      <c r="L10" s="6"/>
      <c r="N10" s="8">
        <f t="shared" si="1"/>
        <v>-3.4482758620689655E-2</v>
      </c>
    </row>
    <row r="11" spans="1:22" x14ac:dyDescent="0.2">
      <c r="A11" s="5">
        <v>44835</v>
      </c>
      <c r="B11" s="4" t="s">
        <v>1</v>
      </c>
      <c r="C11" s="4">
        <v>1800</v>
      </c>
      <c r="D11" s="4">
        <v>1950</v>
      </c>
      <c r="E11" s="4">
        <v>15</v>
      </c>
      <c r="F11" s="4">
        <v>1900</v>
      </c>
      <c r="G11" s="4">
        <v>1900</v>
      </c>
      <c r="H11" s="4">
        <v>1850</v>
      </c>
      <c r="I11" s="4" t="s">
        <v>54</v>
      </c>
      <c r="K11" s="6">
        <f t="shared" si="0"/>
        <v>1.0540540540540539</v>
      </c>
      <c r="L11" s="6"/>
      <c r="N11" s="8">
        <f t="shared" si="1"/>
        <v>8.3333333333333329E-2</v>
      </c>
    </row>
    <row r="12" spans="1:22" x14ac:dyDescent="0.2">
      <c r="A12" s="5">
        <v>44866</v>
      </c>
      <c r="B12" s="4" t="s">
        <v>1</v>
      </c>
      <c r="C12" s="4">
        <v>2800</v>
      </c>
      <c r="D12" s="4">
        <v>3100</v>
      </c>
      <c r="E12" s="4">
        <v>22</v>
      </c>
      <c r="F12" s="4">
        <v>1850</v>
      </c>
      <c r="G12" s="4">
        <v>3200</v>
      </c>
      <c r="H12" s="4">
        <v>1950</v>
      </c>
      <c r="I12" s="4" t="s">
        <v>15</v>
      </c>
      <c r="K12" s="6">
        <f t="shared" si="0"/>
        <v>1.6756756756756757</v>
      </c>
      <c r="L12" s="6"/>
      <c r="N12" s="8">
        <f t="shared" si="1"/>
        <v>0.10714285714285714</v>
      </c>
    </row>
    <row r="13" spans="1:22" x14ac:dyDescent="0.2">
      <c r="A13" s="5">
        <v>44896</v>
      </c>
      <c r="B13" s="4" t="s">
        <v>1</v>
      </c>
      <c r="C13" s="4">
        <v>3500</v>
      </c>
      <c r="D13" s="4">
        <v>3400</v>
      </c>
      <c r="E13" s="4">
        <v>25</v>
      </c>
      <c r="F13" s="4">
        <v>1950</v>
      </c>
      <c r="G13" s="4">
        <v>3500</v>
      </c>
      <c r="H13" s="4">
        <v>2050</v>
      </c>
      <c r="I13" s="4" t="s">
        <v>16</v>
      </c>
      <c r="K13" s="6">
        <f t="shared" si="0"/>
        <v>1.8378378378378379</v>
      </c>
      <c r="L13" s="6"/>
      <c r="N13" s="8">
        <f t="shared" si="1"/>
        <v>-2.8571428571428571E-2</v>
      </c>
    </row>
    <row r="14" spans="1:22" x14ac:dyDescent="0.2">
      <c r="A14" s="5">
        <v>44927</v>
      </c>
      <c r="B14" s="4" t="s">
        <v>1</v>
      </c>
      <c r="C14" s="4">
        <v>1300</v>
      </c>
      <c r="D14" s="4">
        <v>1200</v>
      </c>
      <c r="E14" s="4">
        <v>14</v>
      </c>
      <c r="F14" s="4">
        <v>2050</v>
      </c>
      <c r="G14" s="4">
        <v>1400</v>
      </c>
      <c r="H14" s="4">
        <v>2250</v>
      </c>
      <c r="I14" s="4" t="s">
        <v>28</v>
      </c>
      <c r="K14" s="6">
        <f>D14/AVERAGEIFS($D$2:$D$73,$B$2:$B$73,B14,$A$2:$A$73,"&gt;=2023-01-01")</f>
        <v>0.60377358490566035</v>
      </c>
      <c r="L14" s="6"/>
      <c r="N14" s="8">
        <f t="shared" si="1"/>
        <v>-7.6923076923076927E-2</v>
      </c>
    </row>
    <row r="15" spans="1:22" x14ac:dyDescent="0.2">
      <c r="A15" s="5">
        <v>44958</v>
      </c>
      <c r="B15" s="4" t="s">
        <v>1</v>
      </c>
      <c r="C15" s="4">
        <v>1200</v>
      </c>
      <c r="D15" s="4">
        <v>1100</v>
      </c>
      <c r="E15" s="4">
        <v>14</v>
      </c>
      <c r="F15" s="4">
        <v>2250</v>
      </c>
      <c r="G15" s="4">
        <v>1250</v>
      </c>
      <c r="H15" s="4">
        <v>2400</v>
      </c>
      <c r="I15" s="4" t="s">
        <v>31</v>
      </c>
      <c r="K15" s="6">
        <f t="shared" ref="K15:K25" si="2">D15/AVERAGEIFS($D$2:$D$73,$B$2:$B$73,B15,$A$2:$A$73,"&gt;=2023-1-1")</f>
        <v>0.55345911949685533</v>
      </c>
      <c r="L15" s="6"/>
      <c r="N15" s="8">
        <f t="shared" si="1"/>
        <v>-8.3333333333333329E-2</v>
      </c>
    </row>
    <row r="16" spans="1:22" x14ac:dyDescent="0.2">
      <c r="A16" s="5">
        <v>44986</v>
      </c>
      <c r="B16" s="4" t="s">
        <v>1</v>
      </c>
      <c r="C16" s="4">
        <v>1450</v>
      </c>
      <c r="D16" s="4">
        <v>1300</v>
      </c>
      <c r="E16" s="4">
        <v>15</v>
      </c>
      <c r="F16" s="4">
        <v>2400</v>
      </c>
      <c r="G16" s="4">
        <v>1500</v>
      </c>
      <c r="H16" s="4">
        <v>2600</v>
      </c>
      <c r="I16" s="4" t="s">
        <v>32</v>
      </c>
      <c r="K16" s="6">
        <f t="shared" si="2"/>
        <v>0.65408805031446537</v>
      </c>
      <c r="L16" s="6"/>
      <c r="N16" s="8">
        <f t="shared" si="1"/>
        <v>-0.10344827586206896</v>
      </c>
    </row>
    <row r="17" spans="1:14" x14ac:dyDescent="0.2">
      <c r="A17" s="5">
        <v>45017</v>
      </c>
      <c r="B17" s="4" t="s">
        <v>1</v>
      </c>
      <c r="C17" s="4">
        <v>1350</v>
      </c>
      <c r="D17" s="4">
        <v>1450</v>
      </c>
      <c r="E17" s="4">
        <v>14</v>
      </c>
      <c r="F17" s="4">
        <v>2600</v>
      </c>
      <c r="G17" s="4">
        <v>1400</v>
      </c>
      <c r="H17" s="4">
        <v>2550</v>
      </c>
      <c r="I17" s="4" t="s">
        <v>18</v>
      </c>
      <c r="K17" s="6">
        <f t="shared" si="2"/>
        <v>0.72955974842767291</v>
      </c>
      <c r="L17" s="6"/>
      <c r="N17" s="8">
        <f t="shared" si="1"/>
        <v>7.407407407407407E-2</v>
      </c>
    </row>
    <row r="18" spans="1:14" x14ac:dyDescent="0.2">
      <c r="A18" s="5">
        <v>45047</v>
      </c>
      <c r="B18" s="4" t="s">
        <v>1</v>
      </c>
      <c r="C18" s="4">
        <v>1500</v>
      </c>
      <c r="D18" s="4">
        <v>1800</v>
      </c>
      <c r="E18" s="4">
        <v>16</v>
      </c>
      <c r="F18" s="4">
        <v>2550</v>
      </c>
      <c r="G18" s="4">
        <v>1600</v>
      </c>
      <c r="H18" s="4">
        <v>2350</v>
      </c>
      <c r="I18" s="4" t="s">
        <v>36</v>
      </c>
      <c r="K18" s="6">
        <f t="shared" si="2"/>
        <v>0.90566037735849059</v>
      </c>
      <c r="L18" s="6"/>
      <c r="N18" s="8">
        <f t="shared" si="1"/>
        <v>0.2</v>
      </c>
    </row>
    <row r="19" spans="1:14" x14ac:dyDescent="0.2">
      <c r="A19" s="5">
        <v>45078</v>
      </c>
      <c r="B19" s="4" t="s">
        <v>1</v>
      </c>
      <c r="C19" s="4">
        <v>1700</v>
      </c>
      <c r="D19" s="4">
        <v>2000</v>
      </c>
      <c r="E19" s="4">
        <v>14</v>
      </c>
      <c r="F19" s="4">
        <v>2350</v>
      </c>
      <c r="G19" s="4">
        <v>2500</v>
      </c>
      <c r="H19" s="4">
        <v>2850</v>
      </c>
      <c r="I19" s="4" t="s">
        <v>37</v>
      </c>
      <c r="K19" s="6">
        <f t="shared" si="2"/>
        <v>1.0062893081761006</v>
      </c>
      <c r="L19" s="6"/>
      <c r="N19" s="8">
        <f t="shared" si="1"/>
        <v>0.17647058823529413</v>
      </c>
    </row>
    <row r="20" spans="1:14" x14ac:dyDescent="0.2">
      <c r="A20" s="5">
        <v>45108</v>
      </c>
      <c r="B20" s="4" t="s">
        <v>1</v>
      </c>
      <c r="C20" s="4">
        <v>2000</v>
      </c>
      <c r="D20" s="4">
        <v>1900</v>
      </c>
      <c r="E20" s="4">
        <v>18</v>
      </c>
      <c r="F20" s="4">
        <v>2850</v>
      </c>
      <c r="G20" s="4">
        <v>2050</v>
      </c>
      <c r="H20" s="4">
        <v>3000</v>
      </c>
      <c r="I20" s="4" t="s">
        <v>31</v>
      </c>
      <c r="K20" s="6">
        <f t="shared" si="2"/>
        <v>0.95597484276729561</v>
      </c>
      <c r="L20" s="6"/>
      <c r="N20" s="8">
        <f t="shared" si="1"/>
        <v>-0.05</v>
      </c>
    </row>
    <row r="21" spans="1:14" x14ac:dyDescent="0.2">
      <c r="A21" s="5">
        <v>45139</v>
      </c>
      <c r="B21" s="4" t="s">
        <v>1</v>
      </c>
      <c r="C21" s="4">
        <v>1600</v>
      </c>
      <c r="D21" s="4">
        <v>1500</v>
      </c>
      <c r="E21" s="4">
        <v>14</v>
      </c>
      <c r="F21" s="4">
        <v>3000</v>
      </c>
      <c r="G21" s="4">
        <v>1650</v>
      </c>
      <c r="H21" s="4">
        <v>3150</v>
      </c>
      <c r="I21" s="4" t="s">
        <v>20</v>
      </c>
      <c r="K21" s="6">
        <f t="shared" si="2"/>
        <v>0.75471698113207553</v>
      </c>
      <c r="L21" s="6"/>
      <c r="N21" s="8">
        <f t="shared" si="1"/>
        <v>-6.25E-2</v>
      </c>
    </row>
    <row r="22" spans="1:14" x14ac:dyDescent="0.2">
      <c r="A22" s="5">
        <v>45170</v>
      </c>
      <c r="B22" s="4" t="s">
        <v>1</v>
      </c>
      <c r="C22" s="4">
        <v>1550</v>
      </c>
      <c r="D22" s="4">
        <v>1500</v>
      </c>
      <c r="E22" s="4">
        <v>14</v>
      </c>
      <c r="F22" s="4">
        <v>3150</v>
      </c>
      <c r="G22" s="4">
        <v>1600</v>
      </c>
      <c r="H22" s="4">
        <v>3250</v>
      </c>
      <c r="I22" s="4" t="s">
        <v>21</v>
      </c>
      <c r="K22" s="6">
        <f t="shared" si="2"/>
        <v>0.75471698113207553</v>
      </c>
      <c r="L22" s="6"/>
      <c r="N22" s="8">
        <f t="shared" si="1"/>
        <v>-3.2258064516129031E-2</v>
      </c>
    </row>
    <row r="23" spans="1:14" x14ac:dyDescent="0.2">
      <c r="A23" s="5">
        <v>45200</v>
      </c>
      <c r="B23" s="4" t="s">
        <v>1</v>
      </c>
      <c r="C23" s="4">
        <v>1900</v>
      </c>
      <c r="D23" s="4">
        <v>2400</v>
      </c>
      <c r="E23" s="4">
        <v>15</v>
      </c>
      <c r="F23" s="4">
        <v>3250</v>
      </c>
      <c r="G23" s="4">
        <v>2500</v>
      </c>
      <c r="H23" s="4">
        <v>3350</v>
      </c>
      <c r="I23" s="4" t="s">
        <v>42</v>
      </c>
      <c r="K23" s="6">
        <f t="shared" si="2"/>
        <v>1.2075471698113207</v>
      </c>
      <c r="L23" s="6"/>
      <c r="N23" s="8">
        <f t="shared" si="1"/>
        <v>0.26315789473684209</v>
      </c>
    </row>
    <row r="24" spans="1:14" x14ac:dyDescent="0.2">
      <c r="A24" s="5">
        <v>45231</v>
      </c>
      <c r="B24" s="4" t="s">
        <v>1</v>
      </c>
      <c r="C24" s="4">
        <v>3000</v>
      </c>
      <c r="D24" s="4">
        <v>3800</v>
      </c>
      <c r="E24" s="4">
        <v>22</v>
      </c>
      <c r="F24" s="4">
        <v>3350</v>
      </c>
      <c r="G24" s="4">
        <v>4000</v>
      </c>
      <c r="H24" s="4">
        <v>3550</v>
      </c>
      <c r="I24" s="4" t="s">
        <v>43</v>
      </c>
      <c r="K24" s="6">
        <f t="shared" si="2"/>
        <v>1.9119496855345912</v>
      </c>
      <c r="L24" s="6"/>
      <c r="N24" s="8">
        <f t="shared" si="1"/>
        <v>0.26666666666666666</v>
      </c>
    </row>
    <row r="25" spans="1:14" x14ac:dyDescent="0.2">
      <c r="A25" s="5">
        <v>45261</v>
      </c>
      <c r="B25" s="4" t="s">
        <v>1</v>
      </c>
      <c r="C25" s="4">
        <v>3700</v>
      </c>
      <c r="D25" s="4">
        <v>3900</v>
      </c>
      <c r="E25" s="4">
        <v>25</v>
      </c>
      <c r="F25" s="4">
        <v>3550</v>
      </c>
      <c r="G25" s="4">
        <v>3800</v>
      </c>
      <c r="H25" s="4">
        <v>3450</v>
      </c>
      <c r="I25" s="4" t="s">
        <v>25</v>
      </c>
      <c r="K25" s="6">
        <f t="shared" si="2"/>
        <v>1.9622641509433962</v>
      </c>
      <c r="L25" s="6"/>
      <c r="N25" s="8">
        <f t="shared" si="1"/>
        <v>5.4054054054054057E-2</v>
      </c>
    </row>
    <row r="26" spans="1:14" x14ac:dyDescent="0.2">
      <c r="A26" s="5">
        <v>44562</v>
      </c>
      <c r="B26" s="4" t="s">
        <v>58</v>
      </c>
      <c r="C26" s="4">
        <v>2000</v>
      </c>
      <c r="D26" s="4">
        <v>2100</v>
      </c>
      <c r="E26" s="4">
        <v>7</v>
      </c>
      <c r="F26" s="4">
        <v>1500</v>
      </c>
      <c r="G26" s="4">
        <v>2100</v>
      </c>
      <c r="H26" s="4">
        <v>1500</v>
      </c>
      <c r="I26" s="4" t="s">
        <v>45</v>
      </c>
      <c r="K26" s="6">
        <f t="shared" ref="K26:K37" si="3">D26/AVERAGEIFS($D$2:$D$73,$B$2:$B$73,B26,$A$2:$A$73,"&lt;2023-1-1")</f>
        <v>1.045643153526971</v>
      </c>
      <c r="N26" s="8">
        <f t="shared" si="1"/>
        <v>0.05</v>
      </c>
    </row>
    <row r="27" spans="1:14" x14ac:dyDescent="0.2">
      <c r="A27" s="5">
        <v>44593</v>
      </c>
      <c r="B27" s="4" t="s">
        <v>58</v>
      </c>
      <c r="C27" s="4">
        <v>2100</v>
      </c>
      <c r="D27" s="4">
        <v>2050</v>
      </c>
      <c r="E27" s="4">
        <v>7</v>
      </c>
      <c r="F27" s="4">
        <v>1500</v>
      </c>
      <c r="G27" s="4">
        <v>2150</v>
      </c>
      <c r="H27" s="4">
        <v>1600</v>
      </c>
      <c r="I27" s="4" t="s">
        <v>9</v>
      </c>
      <c r="K27" s="6">
        <f t="shared" si="3"/>
        <v>1.0207468879668051</v>
      </c>
      <c r="N27" s="8">
        <f t="shared" si="1"/>
        <v>-2.3809523809523808E-2</v>
      </c>
    </row>
    <row r="28" spans="1:14" x14ac:dyDescent="0.2">
      <c r="A28" s="5">
        <v>44621</v>
      </c>
      <c r="B28" s="4" t="s">
        <v>58</v>
      </c>
      <c r="C28" s="4">
        <v>1950</v>
      </c>
      <c r="D28" s="4">
        <v>2200</v>
      </c>
      <c r="E28" s="4">
        <v>8</v>
      </c>
      <c r="F28" s="4">
        <v>1600</v>
      </c>
      <c r="G28" s="4">
        <v>2000</v>
      </c>
      <c r="H28" s="4">
        <v>1400</v>
      </c>
      <c r="I28" s="4" t="s">
        <v>46</v>
      </c>
      <c r="K28" s="6">
        <f t="shared" si="3"/>
        <v>1.095435684647303</v>
      </c>
      <c r="N28" s="8">
        <f t="shared" si="1"/>
        <v>0.12820512820512819</v>
      </c>
    </row>
    <row r="29" spans="1:14" x14ac:dyDescent="0.2">
      <c r="A29" s="5">
        <v>44652</v>
      </c>
      <c r="B29" s="4" t="s">
        <v>58</v>
      </c>
      <c r="C29" s="4">
        <v>2050</v>
      </c>
      <c r="D29" s="4">
        <v>2100</v>
      </c>
      <c r="E29" s="4">
        <v>7</v>
      </c>
      <c r="F29" s="4">
        <v>1400</v>
      </c>
      <c r="G29" s="4">
        <v>2100</v>
      </c>
      <c r="H29" s="4">
        <v>1400</v>
      </c>
      <c r="I29" s="4" t="s">
        <v>45</v>
      </c>
      <c r="K29" s="6">
        <f t="shared" si="3"/>
        <v>1.045643153526971</v>
      </c>
      <c r="N29" s="8">
        <f t="shared" si="1"/>
        <v>2.4390243902439025E-2</v>
      </c>
    </row>
    <row r="30" spans="1:14" x14ac:dyDescent="0.2">
      <c r="A30" s="5">
        <v>44682</v>
      </c>
      <c r="B30" s="4" t="s">
        <v>58</v>
      </c>
      <c r="C30" s="4">
        <v>2000</v>
      </c>
      <c r="D30" s="4">
        <v>2000</v>
      </c>
      <c r="E30" s="4">
        <v>7</v>
      </c>
      <c r="F30" s="4">
        <v>1400</v>
      </c>
      <c r="G30" s="4">
        <v>2050</v>
      </c>
      <c r="H30" s="4">
        <v>1450</v>
      </c>
      <c r="I30" s="4" t="s">
        <v>31</v>
      </c>
      <c r="K30" s="6">
        <f t="shared" si="3"/>
        <v>0.99585062240663902</v>
      </c>
      <c r="N30" s="8">
        <f t="shared" si="1"/>
        <v>0</v>
      </c>
    </row>
    <row r="31" spans="1:14" x14ac:dyDescent="0.2">
      <c r="A31" s="5">
        <v>44713</v>
      </c>
      <c r="B31" s="4" t="s">
        <v>58</v>
      </c>
      <c r="C31" s="4">
        <v>500</v>
      </c>
      <c r="D31" s="4">
        <v>1200</v>
      </c>
      <c r="E31" s="4">
        <v>25</v>
      </c>
      <c r="F31" s="4">
        <v>1450</v>
      </c>
      <c r="G31" s="4">
        <v>600</v>
      </c>
      <c r="H31" s="4">
        <v>850</v>
      </c>
      <c r="I31" s="4" t="s">
        <v>49</v>
      </c>
      <c r="K31" s="6">
        <f t="shared" si="3"/>
        <v>0.59751037344398339</v>
      </c>
      <c r="N31" s="8">
        <f t="shared" si="1"/>
        <v>1.4</v>
      </c>
    </row>
    <row r="32" spans="1:14" x14ac:dyDescent="0.2">
      <c r="A32" s="5">
        <v>44743</v>
      </c>
      <c r="B32" s="4" t="s">
        <v>58</v>
      </c>
      <c r="C32" s="4">
        <v>2050</v>
      </c>
      <c r="D32" s="4">
        <v>2100</v>
      </c>
      <c r="E32" s="4">
        <v>7</v>
      </c>
      <c r="F32" s="4">
        <v>850</v>
      </c>
      <c r="G32" s="4">
        <v>2300</v>
      </c>
      <c r="H32" s="4">
        <v>1050</v>
      </c>
      <c r="I32" s="4" t="s">
        <v>50</v>
      </c>
      <c r="K32" s="6">
        <f t="shared" si="3"/>
        <v>1.045643153526971</v>
      </c>
      <c r="N32" s="8">
        <f t="shared" si="1"/>
        <v>2.4390243902439025E-2</v>
      </c>
    </row>
    <row r="33" spans="1:14" x14ac:dyDescent="0.2">
      <c r="A33" s="5">
        <v>44774</v>
      </c>
      <c r="B33" s="4" t="s">
        <v>58</v>
      </c>
      <c r="C33" s="4">
        <v>2100</v>
      </c>
      <c r="D33" s="4">
        <v>2150</v>
      </c>
      <c r="E33" s="4">
        <v>7</v>
      </c>
      <c r="F33" s="4">
        <v>1050</v>
      </c>
      <c r="G33" s="4">
        <v>2150</v>
      </c>
      <c r="H33" s="4">
        <v>1050</v>
      </c>
      <c r="I33" s="4" t="s">
        <v>52</v>
      </c>
      <c r="K33" s="6">
        <f t="shared" si="3"/>
        <v>1.0705394190871369</v>
      </c>
      <c r="N33" s="8">
        <f t="shared" si="1"/>
        <v>2.3809523809523808E-2</v>
      </c>
    </row>
    <row r="34" spans="1:14" x14ac:dyDescent="0.2">
      <c r="A34" s="5">
        <v>44805</v>
      </c>
      <c r="B34" s="4" t="s">
        <v>58</v>
      </c>
      <c r="C34" s="4">
        <v>1980</v>
      </c>
      <c r="D34" s="4">
        <v>1900</v>
      </c>
      <c r="E34" s="4">
        <v>7</v>
      </c>
      <c r="F34" s="4">
        <v>1050</v>
      </c>
      <c r="G34" s="4">
        <v>2000</v>
      </c>
      <c r="H34" s="4">
        <v>1150</v>
      </c>
      <c r="I34" s="4" t="s">
        <v>14</v>
      </c>
      <c r="K34" s="6">
        <f t="shared" si="3"/>
        <v>0.94605809128630713</v>
      </c>
      <c r="N34" s="8">
        <f t="shared" ref="N34:N65" si="4">(D34-C34)/C34</f>
        <v>-4.0404040404040407E-2</v>
      </c>
    </row>
    <row r="35" spans="1:14" x14ac:dyDescent="0.2">
      <c r="A35" s="5">
        <v>44835</v>
      </c>
      <c r="B35" s="4" t="s">
        <v>58</v>
      </c>
      <c r="C35" s="4">
        <v>2020</v>
      </c>
      <c r="D35" s="4">
        <v>2050</v>
      </c>
      <c r="E35" s="4">
        <v>7</v>
      </c>
      <c r="F35" s="4">
        <v>1150</v>
      </c>
      <c r="G35" s="4">
        <v>2050</v>
      </c>
      <c r="H35" s="4">
        <v>1150</v>
      </c>
      <c r="I35" s="4" t="s">
        <v>55</v>
      </c>
      <c r="K35" s="6">
        <f t="shared" si="3"/>
        <v>1.0207468879668051</v>
      </c>
      <c r="N35" s="8">
        <f t="shared" si="4"/>
        <v>1.4851485148514851E-2</v>
      </c>
    </row>
    <row r="36" spans="1:14" x14ac:dyDescent="0.2">
      <c r="A36" s="5">
        <v>44866</v>
      </c>
      <c r="B36" s="4" t="s">
        <v>58</v>
      </c>
      <c r="C36" s="4">
        <v>2050</v>
      </c>
      <c r="D36" s="4">
        <v>2100</v>
      </c>
      <c r="E36" s="4">
        <v>7</v>
      </c>
      <c r="F36" s="4">
        <v>1150</v>
      </c>
      <c r="G36" s="4">
        <v>2100</v>
      </c>
      <c r="H36" s="4">
        <v>1150</v>
      </c>
      <c r="I36" s="4" t="s">
        <v>12</v>
      </c>
      <c r="K36" s="6">
        <f t="shared" si="3"/>
        <v>1.045643153526971</v>
      </c>
      <c r="N36" s="8">
        <f t="shared" si="4"/>
        <v>2.4390243902439025E-2</v>
      </c>
    </row>
    <row r="37" spans="1:14" x14ac:dyDescent="0.2">
      <c r="A37" s="5">
        <v>44896</v>
      </c>
      <c r="B37" s="4" t="s">
        <v>58</v>
      </c>
      <c r="C37" s="4">
        <v>2100</v>
      </c>
      <c r="D37" s="4">
        <v>2150</v>
      </c>
      <c r="E37" s="4">
        <v>7</v>
      </c>
      <c r="F37" s="4">
        <v>1150</v>
      </c>
      <c r="G37" s="4">
        <v>2150</v>
      </c>
      <c r="H37" s="4">
        <v>1150</v>
      </c>
      <c r="I37" s="4" t="s">
        <v>44</v>
      </c>
      <c r="K37" s="6">
        <f t="shared" si="3"/>
        <v>1.0705394190871369</v>
      </c>
      <c r="N37" s="8">
        <f t="shared" si="4"/>
        <v>2.3809523809523808E-2</v>
      </c>
    </row>
    <row r="38" spans="1:14" x14ac:dyDescent="0.2">
      <c r="A38" s="5">
        <v>44927</v>
      </c>
      <c r="B38" s="4" t="s">
        <v>58</v>
      </c>
      <c r="C38" s="4">
        <v>2000</v>
      </c>
      <c r="D38" s="4">
        <v>2100</v>
      </c>
      <c r="E38" s="4">
        <v>7</v>
      </c>
      <c r="F38" s="4">
        <v>1150</v>
      </c>
      <c r="G38" s="4">
        <v>2100</v>
      </c>
      <c r="H38" s="4">
        <v>1150</v>
      </c>
      <c r="I38" s="4" t="s">
        <v>29</v>
      </c>
      <c r="K38" s="6">
        <f t="shared" ref="K38:K49" si="5">D38/AVERAGEIFS($D$2:$D$73,$B$2:$B$73,B38,$A$2:$A$73,"&gt;=2023-1-1")</f>
        <v>0.8936170212765957</v>
      </c>
      <c r="N38" s="8">
        <f t="shared" si="4"/>
        <v>0.05</v>
      </c>
    </row>
    <row r="39" spans="1:14" x14ac:dyDescent="0.2">
      <c r="A39" s="5">
        <v>44958</v>
      </c>
      <c r="B39" s="4" t="s">
        <v>58</v>
      </c>
      <c r="C39" s="4">
        <v>2150</v>
      </c>
      <c r="D39" s="4">
        <v>2200</v>
      </c>
      <c r="E39" s="4">
        <v>7</v>
      </c>
      <c r="F39" s="4">
        <v>1150</v>
      </c>
      <c r="G39" s="4">
        <v>2200</v>
      </c>
      <c r="H39" s="4">
        <v>1150</v>
      </c>
      <c r="I39" s="4" t="s">
        <v>17</v>
      </c>
      <c r="K39" s="6">
        <f t="shared" si="5"/>
        <v>0.93617021276595747</v>
      </c>
      <c r="N39" s="8">
        <f t="shared" si="4"/>
        <v>2.3255813953488372E-2</v>
      </c>
    </row>
    <row r="40" spans="1:14" x14ac:dyDescent="0.2">
      <c r="A40" s="5">
        <v>44986</v>
      </c>
      <c r="B40" s="4" t="s">
        <v>58</v>
      </c>
      <c r="C40" s="4">
        <v>2000</v>
      </c>
      <c r="D40" s="4">
        <v>2500</v>
      </c>
      <c r="E40" s="4">
        <v>8</v>
      </c>
      <c r="F40" s="4">
        <v>1150</v>
      </c>
      <c r="G40" s="4">
        <v>2400</v>
      </c>
      <c r="H40" s="4">
        <v>1050</v>
      </c>
      <c r="I40" s="4" t="s">
        <v>33</v>
      </c>
      <c r="K40" s="6">
        <f t="shared" si="5"/>
        <v>1.0638297872340425</v>
      </c>
      <c r="N40" s="8">
        <f t="shared" si="4"/>
        <v>0.25</v>
      </c>
    </row>
    <row r="41" spans="1:14" x14ac:dyDescent="0.2">
      <c r="A41" s="5">
        <v>45017</v>
      </c>
      <c r="B41" s="4" t="s">
        <v>58</v>
      </c>
      <c r="C41" s="4">
        <v>2100</v>
      </c>
      <c r="D41" s="4">
        <v>2450</v>
      </c>
      <c r="E41" s="4">
        <v>7</v>
      </c>
      <c r="F41" s="4">
        <v>1050</v>
      </c>
      <c r="G41" s="4">
        <v>2500</v>
      </c>
      <c r="H41" s="4">
        <v>1100</v>
      </c>
      <c r="I41" s="4" t="s">
        <v>34</v>
      </c>
      <c r="K41" s="6">
        <f t="shared" si="5"/>
        <v>1.0425531914893618</v>
      </c>
      <c r="N41" s="8">
        <f t="shared" si="4"/>
        <v>0.16666666666666666</v>
      </c>
    </row>
    <row r="42" spans="1:14" x14ac:dyDescent="0.2">
      <c r="A42" s="5">
        <v>45047</v>
      </c>
      <c r="B42" s="4" t="s">
        <v>58</v>
      </c>
      <c r="C42" s="4">
        <v>2050</v>
      </c>
      <c r="D42" s="4">
        <v>2300</v>
      </c>
      <c r="E42" s="4">
        <v>7</v>
      </c>
      <c r="F42" s="4">
        <v>1100</v>
      </c>
      <c r="G42" s="4">
        <v>2400</v>
      </c>
      <c r="H42" s="4">
        <v>1200</v>
      </c>
      <c r="I42" s="4" t="s">
        <v>34</v>
      </c>
      <c r="K42" s="6">
        <f t="shared" si="5"/>
        <v>0.97872340425531912</v>
      </c>
      <c r="N42" s="8">
        <f t="shared" si="4"/>
        <v>0.12195121951219512</v>
      </c>
    </row>
    <row r="43" spans="1:14" x14ac:dyDescent="0.2">
      <c r="A43" s="5">
        <v>45078</v>
      </c>
      <c r="B43" s="4" t="s">
        <v>58</v>
      </c>
      <c r="C43" s="4">
        <v>550</v>
      </c>
      <c r="D43" s="4">
        <v>1200</v>
      </c>
      <c r="E43" s="4">
        <v>25</v>
      </c>
      <c r="F43" s="4">
        <v>1200</v>
      </c>
      <c r="G43" s="4">
        <v>1500</v>
      </c>
      <c r="H43" s="4">
        <v>1500</v>
      </c>
      <c r="I43" s="4" t="s">
        <v>38</v>
      </c>
      <c r="K43" s="6">
        <f t="shared" si="5"/>
        <v>0.51063829787234039</v>
      </c>
      <c r="N43" s="8">
        <f t="shared" si="4"/>
        <v>1.1818181818181819</v>
      </c>
    </row>
    <row r="44" spans="1:14" x14ac:dyDescent="0.2">
      <c r="A44" s="5">
        <v>45108</v>
      </c>
      <c r="B44" s="4" t="s">
        <v>58</v>
      </c>
      <c r="C44" s="4">
        <v>2100</v>
      </c>
      <c r="D44" s="4">
        <v>2400</v>
      </c>
      <c r="E44" s="4">
        <v>7</v>
      </c>
      <c r="F44" s="4">
        <v>1500</v>
      </c>
      <c r="G44" s="4">
        <v>2500</v>
      </c>
      <c r="H44" s="4">
        <v>1600</v>
      </c>
      <c r="I44" s="4" t="s">
        <v>39</v>
      </c>
      <c r="K44" s="6">
        <f t="shared" si="5"/>
        <v>1.0212765957446808</v>
      </c>
      <c r="N44" s="8">
        <f t="shared" si="4"/>
        <v>0.14285714285714285</v>
      </c>
    </row>
    <row r="45" spans="1:14" x14ac:dyDescent="0.2">
      <c r="A45" s="5">
        <v>45139</v>
      </c>
      <c r="B45" s="4" t="s">
        <v>58</v>
      </c>
      <c r="C45" s="4">
        <v>2150</v>
      </c>
      <c r="D45" s="4">
        <v>2600</v>
      </c>
      <c r="E45" s="4">
        <v>7</v>
      </c>
      <c r="F45" s="4">
        <v>1600</v>
      </c>
      <c r="G45" s="4">
        <v>2200</v>
      </c>
      <c r="H45" s="4">
        <v>1200</v>
      </c>
      <c r="I45" s="4" t="s">
        <v>40</v>
      </c>
      <c r="K45" s="6">
        <f t="shared" si="5"/>
        <v>1.1063829787234043</v>
      </c>
      <c r="N45" s="8">
        <f t="shared" si="4"/>
        <v>0.20930232558139536</v>
      </c>
    </row>
    <row r="46" spans="1:14" x14ac:dyDescent="0.2">
      <c r="A46" s="5">
        <v>45170</v>
      </c>
      <c r="B46" s="4" t="s">
        <v>58</v>
      </c>
      <c r="C46" s="4">
        <v>2000</v>
      </c>
      <c r="D46" s="4">
        <v>2350</v>
      </c>
      <c r="E46" s="4">
        <v>7</v>
      </c>
      <c r="F46" s="4">
        <v>1200</v>
      </c>
      <c r="G46" s="4">
        <v>2400</v>
      </c>
      <c r="H46" s="4">
        <v>1250</v>
      </c>
      <c r="I46" s="4" t="s">
        <v>9</v>
      </c>
      <c r="K46" s="6">
        <f t="shared" si="5"/>
        <v>1</v>
      </c>
      <c r="N46" s="8">
        <f t="shared" si="4"/>
        <v>0.17499999999999999</v>
      </c>
    </row>
    <row r="47" spans="1:14" x14ac:dyDescent="0.2">
      <c r="A47" s="5">
        <v>45200</v>
      </c>
      <c r="B47" s="4" t="s">
        <v>58</v>
      </c>
      <c r="C47" s="4">
        <v>2050</v>
      </c>
      <c r="D47" s="4">
        <v>2500</v>
      </c>
      <c r="E47" s="4">
        <v>7</v>
      </c>
      <c r="F47" s="4">
        <v>1250</v>
      </c>
      <c r="G47" s="4">
        <v>2600</v>
      </c>
      <c r="H47" s="4">
        <v>1350</v>
      </c>
      <c r="I47" s="4" t="s">
        <v>34</v>
      </c>
      <c r="K47" s="6">
        <f t="shared" si="5"/>
        <v>1.0638297872340425</v>
      </c>
      <c r="N47" s="8">
        <f t="shared" si="4"/>
        <v>0.21951219512195122</v>
      </c>
    </row>
    <row r="48" spans="1:14" x14ac:dyDescent="0.2">
      <c r="A48" s="5">
        <v>45231</v>
      </c>
      <c r="B48" s="4" t="s">
        <v>58</v>
      </c>
      <c r="C48" s="4">
        <v>2100</v>
      </c>
      <c r="D48" s="4">
        <v>2700</v>
      </c>
      <c r="E48" s="4">
        <v>7</v>
      </c>
      <c r="F48" s="4">
        <v>1350</v>
      </c>
      <c r="G48" s="4">
        <v>2800</v>
      </c>
      <c r="H48" s="4">
        <v>1450</v>
      </c>
      <c r="I48" s="4" t="s">
        <v>23</v>
      </c>
      <c r="K48" s="6">
        <f t="shared" si="5"/>
        <v>1.1489361702127661</v>
      </c>
      <c r="N48" s="8">
        <f t="shared" si="4"/>
        <v>0.2857142857142857</v>
      </c>
    </row>
    <row r="49" spans="1:14" x14ac:dyDescent="0.2">
      <c r="A49" s="5">
        <v>45261</v>
      </c>
      <c r="B49" s="4" t="s">
        <v>58</v>
      </c>
      <c r="C49" s="4">
        <v>2150</v>
      </c>
      <c r="D49" s="4">
        <v>2900</v>
      </c>
      <c r="E49" s="4">
        <v>7</v>
      </c>
      <c r="F49" s="4">
        <v>1450</v>
      </c>
      <c r="G49" s="4">
        <v>2900</v>
      </c>
      <c r="H49" s="4">
        <v>1450</v>
      </c>
      <c r="I49" s="4" t="s">
        <v>44</v>
      </c>
      <c r="K49" s="6">
        <f t="shared" si="5"/>
        <v>1.2340425531914894</v>
      </c>
      <c r="N49" s="8">
        <f t="shared" si="4"/>
        <v>0.34883720930232559</v>
      </c>
    </row>
    <row r="50" spans="1:14" x14ac:dyDescent="0.2">
      <c r="A50" s="5">
        <v>44562</v>
      </c>
      <c r="B50" s="4" t="s">
        <v>57</v>
      </c>
      <c r="C50" s="4">
        <v>500</v>
      </c>
      <c r="D50" s="4">
        <v>450</v>
      </c>
      <c r="E50" s="4">
        <v>30</v>
      </c>
      <c r="F50" s="4">
        <v>800</v>
      </c>
      <c r="G50" s="4">
        <v>550</v>
      </c>
      <c r="H50" s="4">
        <v>900</v>
      </c>
      <c r="I50" s="4" t="s">
        <v>2</v>
      </c>
      <c r="K50" s="6">
        <f t="shared" ref="K50:K61" si="6">D50/AVERAGEIFS($D$2:$D$73,$B$2:$B$73,B50,$A$2:$A$73,"&lt;2023-1-1")</f>
        <v>0.70129870129870131</v>
      </c>
      <c r="L50" s="6"/>
      <c r="N50" s="8">
        <f t="shared" si="4"/>
        <v>-0.1</v>
      </c>
    </row>
    <row r="51" spans="1:14" x14ac:dyDescent="0.2">
      <c r="A51" s="5">
        <v>44593</v>
      </c>
      <c r="B51" s="4" t="s">
        <v>57</v>
      </c>
      <c r="C51" s="4">
        <v>520</v>
      </c>
      <c r="D51" s="4">
        <v>500</v>
      </c>
      <c r="E51" s="4">
        <v>30</v>
      </c>
      <c r="F51" s="4">
        <v>900</v>
      </c>
      <c r="G51" s="4">
        <v>550</v>
      </c>
      <c r="H51" s="4">
        <v>950</v>
      </c>
      <c r="I51" s="4" t="s">
        <v>9</v>
      </c>
      <c r="K51" s="6">
        <f t="shared" si="6"/>
        <v>0.77922077922077926</v>
      </c>
      <c r="L51" s="6"/>
      <c r="N51" s="8">
        <f t="shared" si="4"/>
        <v>-3.8461538461538464E-2</v>
      </c>
    </row>
    <row r="52" spans="1:14" x14ac:dyDescent="0.2">
      <c r="A52" s="5">
        <v>44621</v>
      </c>
      <c r="B52" s="4" t="s">
        <v>57</v>
      </c>
      <c r="C52" s="4">
        <v>510</v>
      </c>
      <c r="D52" s="4">
        <v>550</v>
      </c>
      <c r="E52" s="4">
        <v>30</v>
      </c>
      <c r="F52" s="4">
        <v>950</v>
      </c>
      <c r="G52" s="4">
        <v>550</v>
      </c>
      <c r="H52" s="4">
        <v>950</v>
      </c>
      <c r="I52" s="4" t="s">
        <v>31</v>
      </c>
      <c r="K52" s="6">
        <f t="shared" si="6"/>
        <v>0.85714285714285721</v>
      </c>
      <c r="L52" s="6"/>
      <c r="N52" s="8">
        <f t="shared" si="4"/>
        <v>7.8431372549019607E-2</v>
      </c>
    </row>
    <row r="53" spans="1:14" x14ac:dyDescent="0.2">
      <c r="A53" s="5">
        <v>44652</v>
      </c>
      <c r="B53" s="4" t="s">
        <v>57</v>
      </c>
      <c r="C53" s="4">
        <v>900</v>
      </c>
      <c r="D53" s="4">
        <v>850</v>
      </c>
      <c r="E53" s="4">
        <v>30</v>
      </c>
      <c r="F53" s="4">
        <v>950</v>
      </c>
      <c r="G53" s="4">
        <v>950</v>
      </c>
      <c r="H53" s="4">
        <v>1050</v>
      </c>
      <c r="I53" s="4" t="s">
        <v>10</v>
      </c>
      <c r="K53" s="6">
        <f t="shared" si="6"/>
        <v>1.3246753246753247</v>
      </c>
      <c r="L53" s="6"/>
      <c r="N53" s="8">
        <f t="shared" si="4"/>
        <v>-5.5555555555555552E-2</v>
      </c>
    </row>
    <row r="54" spans="1:14" x14ac:dyDescent="0.2">
      <c r="A54" s="5">
        <v>44682</v>
      </c>
      <c r="B54" s="4" t="s">
        <v>57</v>
      </c>
      <c r="C54" s="4">
        <v>530</v>
      </c>
      <c r="D54" s="4">
        <v>600</v>
      </c>
      <c r="E54" s="4">
        <v>30</v>
      </c>
      <c r="F54" s="4">
        <v>1050</v>
      </c>
      <c r="G54" s="4">
        <v>550</v>
      </c>
      <c r="H54" s="4">
        <v>1000</v>
      </c>
      <c r="I54" s="4" t="s">
        <v>48</v>
      </c>
      <c r="K54" s="6">
        <f t="shared" si="6"/>
        <v>0.93506493506493515</v>
      </c>
      <c r="L54" s="6"/>
      <c r="N54" s="8">
        <f t="shared" si="4"/>
        <v>0.13207547169811321</v>
      </c>
    </row>
    <row r="55" spans="1:14" x14ac:dyDescent="0.2">
      <c r="A55" s="5">
        <v>44713</v>
      </c>
      <c r="B55" s="4" t="s">
        <v>57</v>
      </c>
      <c r="C55" s="4">
        <v>540</v>
      </c>
      <c r="D55" s="4">
        <v>550</v>
      </c>
      <c r="E55" s="4">
        <v>30</v>
      </c>
      <c r="F55" s="4">
        <v>1000</v>
      </c>
      <c r="G55" s="4">
        <v>550</v>
      </c>
      <c r="H55" s="4">
        <v>1000</v>
      </c>
      <c r="I55" s="4" t="s">
        <v>11</v>
      </c>
      <c r="K55" s="6">
        <f t="shared" si="6"/>
        <v>0.85714285714285721</v>
      </c>
      <c r="L55" s="6"/>
      <c r="N55" s="8">
        <f t="shared" si="4"/>
        <v>1.8518518518518517E-2</v>
      </c>
    </row>
    <row r="56" spans="1:14" x14ac:dyDescent="0.2">
      <c r="A56" s="5">
        <v>44743</v>
      </c>
      <c r="B56" s="4" t="s">
        <v>57</v>
      </c>
      <c r="C56" s="4">
        <v>550</v>
      </c>
      <c r="D56" s="4">
        <v>600</v>
      </c>
      <c r="E56" s="4">
        <v>30</v>
      </c>
      <c r="F56" s="4">
        <v>1000</v>
      </c>
      <c r="G56" s="4">
        <v>600</v>
      </c>
      <c r="H56" s="4">
        <v>1000</v>
      </c>
      <c r="I56" s="4" t="s">
        <v>12</v>
      </c>
      <c r="K56" s="6">
        <f t="shared" si="6"/>
        <v>0.93506493506493515</v>
      </c>
      <c r="L56" s="6"/>
      <c r="N56" s="8">
        <f t="shared" si="4"/>
        <v>9.0909090909090912E-2</v>
      </c>
    </row>
    <row r="57" spans="1:14" x14ac:dyDescent="0.2">
      <c r="A57" s="5">
        <v>44774</v>
      </c>
      <c r="B57" s="4" t="s">
        <v>57</v>
      </c>
      <c r="C57" s="4">
        <v>900</v>
      </c>
      <c r="D57" s="4">
        <v>850</v>
      </c>
      <c r="E57" s="4">
        <v>30</v>
      </c>
      <c r="F57" s="4">
        <v>1000</v>
      </c>
      <c r="G57" s="4">
        <v>900</v>
      </c>
      <c r="H57" s="4">
        <v>1050</v>
      </c>
      <c r="I57" s="4" t="s">
        <v>13</v>
      </c>
      <c r="K57" s="6">
        <f t="shared" si="6"/>
        <v>1.3246753246753247</v>
      </c>
      <c r="L57" s="6"/>
      <c r="N57" s="8">
        <f t="shared" si="4"/>
        <v>-5.5555555555555552E-2</v>
      </c>
    </row>
    <row r="58" spans="1:14" x14ac:dyDescent="0.2">
      <c r="A58" s="5">
        <v>44805</v>
      </c>
      <c r="B58" s="4" t="s">
        <v>57</v>
      </c>
      <c r="C58" s="4">
        <v>540</v>
      </c>
      <c r="D58" s="4">
        <v>500</v>
      </c>
      <c r="E58" s="4">
        <v>30</v>
      </c>
      <c r="F58" s="4">
        <v>1050</v>
      </c>
      <c r="G58" s="4">
        <v>500</v>
      </c>
      <c r="H58" s="4">
        <v>1050</v>
      </c>
      <c r="I58" s="4" t="s">
        <v>53</v>
      </c>
      <c r="K58" s="6">
        <f t="shared" si="6"/>
        <v>0.77922077922077926</v>
      </c>
      <c r="L58" s="6"/>
      <c r="N58" s="8">
        <f t="shared" si="4"/>
        <v>-7.407407407407407E-2</v>
      </c>
    </row>
    <row r="59" spans="1:14" x14ac:dyDescent="0.2">
      <c r="A59" s="5">
        <v>44835</v>
      </c>
      <c r="B59" s="4" t="s">
        <v>57</v>
      </c>
      <c r="C59" s="4">
        <v>950</v>
      </c>
      <c r="D59" s="4">
        <v>1000</v>
      </c>
      <c r="E59" s="4">
        <v>30</v>
      </c>
      <c r="F59" s="4">
        <v>1050</v>
      </c>
      <c r="G59" s="4">
        <v>1000</v>
      </c>
      <c r="H59" s="4">
        <v>1050</v>
      </c>
      <c r="I59" s="4" t="s">
        <v>56</v>
      </c>
      <c r="K59" s="6">
        <f t="shared" si="6"/>
        <v>1.5584415584415585</v>
      </c>
      <c r="L59" s="6"/>
      <c r="N59" s="8">
        <f t="shared" si="4"/>
        <v>5.2631578947368418E-2</v>
      </c>
    </row>
    <row r="60" spans="1:14" x14ac:dyDescent="0.2">
      <c r="A60" s="5">
        <v>44866</v>
      </c>
      <c r="B60" s="4" t="s">
        <v>57</v>
      </c>
      <c r="C60" s="4">
        <v>580</v>
      </c>
      <c r="D60" s="4">
        <v>600</v>
      </c>
      <c r="E60" s="4">
        <v>30</v>
      </c>
      <c r="F60" s="4">
        <v>1050</v>
      </c>
      <c r="G60" s="4">
        <v>600</v>
      </c>
      <c r="H60" s="4">
        <v>1050</v>
      </c>
      <c r="I60" s="4" t="s">
        <v>12</v>
      </c>
      <c r="K60" s="6">
        <f t="shared" si="6"/>
        <v>0.93506493506493515</v>
      </c>
      <c r="L60" s="6"/>
      <c r="N60" s="8">
        <f t="shared" si="4"/>
        <v>3.4482758620689655E-2</v>
      </c>
    </row>
    <row r="61" spans="1:14" x14ac:dyDescent="0.2">
      <c r="A61" s="5">
        <v>44896</v>
      </c>
      <c r="B61" s="4" t="s">
        <v>57</v>
      </c>
      <c r="C61" s="4">
        <v>590</v>
      </c>
      <c r="D61" s="4">
        <v>650</v>
      </c>
      <c r="E61" s="4">
        <v>30</v>
      </c>
      <c r="F61" s="4">
        <v>1050</v>
      </c>
      <c r="G61" s="4">
        <v>650</v>
      </c>
      <c r="H61" s="4">
        <v>1050</v>
      </c>
      <c r="I61" s="4" t="s">
        <v>12</v>
      </c>
      <c r="K61" s="6">
        <f t="shared" si="6"/>
        <v>1.0129870129870131</v>
      </c>
      <c r="L61" s="6"/>
      <c r="N61" s="8">
        <f t="shared" si="4"/>
        <v>0.10169491525423729</v>
      </c>
    </row>
    <row r="62" spans="1:14" x14ac:dyDescent="0.2">
      <c r="A62" s="5">
        <v>44927</v>
      </c>
      <c r="B62" s="4" t="s">
        <v>57</v>
      </c>
      <c r="C62" s="4">
        <v>520</v>
      </c>
      <c r="D62" s="4">
        <v>580</v>
      </c>
      <c r="E62" s="4">
        <v>30</v>
      </c>
      <c r="F62" s="4">
        <v>1050</v>
      </c>
      <c r="G62" s="4">
        <v>550</v>
      </c>
      <c r="H62" s="4">
        <v>1020</v>
      </c>
      <c r="I62" s="4" t="s">
        <v>30</v>
      </c>
      <c r="K62" s="6">
        <f t="shared" ref="K62:K73" si="7">D62/AVERAGEIFS($D$2:$D$73,$B$2:$B$73,B62,$A$2:$A$73,"&gt;=2023-1-1")</f>
        <v>0.6660287081339713</v>
      </c>
      <c r="L62" s="6"/>
      <c r="N62" s="8">
        <f t="shared" si="4"/>
        <v>0.11538461538461539</v>
      </c>
    </row>
    <row r="63" spans="1:14" x14ac:dyDescent="0.2">
      <c r="A63" s="5">
        <v>44958</v>
      </c>
      <c r="B63" s="4" t="s">
        <v>57</v>
      </c>
      <c r="C63" s="4">
        <v>540</v>
      </c>
      <c r="D63" s="4">
        <v>620</v>
      </c>
      <c r="E63" s="4">
        <v>30</v>
      </c>
      <c r="F63" s="4">
        <v>1020</v>
      </c>
      <c r="G63" s="4">
        <v>550</v>
      </c>
      <c r="H63" s="4">
        <v>950</v>
      </c>
      <c r="I63" s="4" t="s">
        <v>9</v>
      </c>
      <c r="K63" s="6">
        <f t="shared" si="7"/>
        <v>0.71196172248803824</v>
      </c>
      <c r="L63" s="6"/>
      <c r="N63" s="8">
        <f t="shared" si="4"/>
        <v>0.14814814814814814</v>
      </c>
    </row>
    <row r="64" spans="1:14" x14ac:dyDescent="0.2">
      <c r="A64" s="5">
        <v>44986</v>
      </c>
      <c r="B64" s="4" t="s">
        <v>57</v>
      </c>
      <c r="C64" s="4">
        <v>530</v>
      </c>
      <c r="D64" s="4">
        <v>600</v>
      </c>
      <c r="E64" s="4">
        <v>30</v>
      </c>
      <c r="F64" s="4">
        <v>950</v>
      </c>
      <c r="G64" s="4">
        <v>550</v>
      </c>
      <c r="H64" s="4">
        <v>900</v>
      </c>
      <c r="I64" s="4" t="s">
        <v>31</v>
      </c>
      <c r="K64" s="6">
        <f t="shared" si="7"/>
        <v>0.68899521531100472</v>
      </c>
      <c r="L64" s="6"/>
      <c r="N64" s="8">
        <f t="shared" si="4"/>
        <v>0.13207547169811321</v>
      </c>
    </row>
    <row r="65" spans="1:17" x14ac:dyDescent="0.2">
      <c r="A65" s="5">
        <v>45017</v>
      </c>
      <c r="B65" s="4" t="s">
        <v>57</v>
      </c>
      <c r="C65" s="4">
        <v>920</v>
      </c>
      <c r="D65" s="4">
        <v>1200</v>
      </c>
      <c r="E65" s="4">
        <v>30</v>
      </c>
      <c r="F65" s="4">
        <v>900</v>
      </c>
      <c r="G65" s="4">
        <v>1200</v>
      </c>
      <c r="H65" s="4">
        <v>900</v>
      </c>
      <c r="I65" s="4" t="s">
        <v>35</v>
      </c>
      <c r="K65" s="6">
        <f t="shared" si="7"/>
        <v>1.3779904306220094</v>
      </c>
      <c r="L65" s="6"/>
      <c r="N65" s="8">
        <f t="shared" si="4"/>
        <v>0.30434782608695654</v>
      </c>
    </row>
    <row r="66" spans="1:17" x14ac:dyDescent="0.2">
      <c r="A66" s="5">
        <v>45047</v>
      </c>
      <c r="B66" s="4" t="s">
        <v>57</v>
      </c>
      <c r="C66" s="4">
        <v>550</v>
      </c>
      <c r="D66" s="4">
        <v>750</v>
      </c>
      <c r="E66" s="4">
        <v>30</v>
      </c>
      <c r="F66" s="4">
        <v>900</v>
      </c>
      <c r="G66" s="4">
        <v>700</v>
      </c>
      <c r="H66" s="4">
        <v>850</v>
      </c>
      <c r="I66" s="4" t="s">
        <v>19</v>
      </c>
      <c r="K66" s="6">
        <f t="shared" si="7"/>
        <v>0.86124401913875592</v>
      </c>
      <c r="L66" s="6"/>
      <c r="N66" s="8">
        <f t="shared" ref="N66:N73" si="8">(D66-C66)/C66</f>
        <v>0.36363636363636365</v>
      </c>
    </row>
    <row r="67" spans="1:17" x14ac:dyDescent="0.2">
      <c r="A67" s="5">
        <v>45078</v>
      </c>
      <c r="B67" s="4" t="s">
        <v>57</v>
      </c>
      <c r="C67" s="4">
        <v>560</v>
      </c>
      <c r="D67" s="4">
        <v>650</v>
      </c>
      <c r="E67" s="4">
        <v>30</v>
      </c>
      <c r="F67" s="4">
        <v>850</v>
      </c>
      <c r="G67" s="4">
        <v>700</v>
      </c>
      <c r="H67" s="4">
        <v>900</v>
      </c>
      <c r="I67" s="4" t="s">
        <v>9</v>
      </c>
      <c r="K67" s="6">
        <f t="shared" si="7"/>
        <v>0.74641148325358853</v>
      </c>
      <c r="L67" s="6"/>
      <c r="N67" s="8">
        <f t="shared" si="8"/>
        <v>0.16071428571428573</v>
      </c>
    </row>
    <row r="68" spans="1:17" x14ac:dyDescent="0.2">
      <c r="A68" s="5">
        <v>45108</v>
      </c>
      <c r="B68" s="4" t="s">
        <v>57</v>
      </c>
      <c r="C68" s="4">
        <v>570</v>
      </c>
      <c r="D68" s="4">
        <v>800</v>
      </c>
      <c r="E68" s="4">
        <v>30</v>
      </c>
      <c r="F68" s="4">
        <v>900</v>
      </c>
      <c r="G68" s="4">
        <v>800</v>
      </c>
      <c r="H68" s="4">
        <v>900</v>
      </c>
      <c r="I68" s="4" t="s">
        <v>12</v>
      </c>
      <c r="K68" s="6">
        <f t="shared" si="7"/>
        <v>0.91866028708133962</v>
      </c>
      <c r="L68" s="6"/>
      <c r="N68" s="8">
        <f t="shared" si="8"/>
        <v>0.40350877192982454</v>
      </c>
    </row>
    <row r="69" spans="1:17" x14ac:dyDescent="0.2">
      <c r="A69" s="5">
        <v>45139</v>
      </c>
      <c r="B69" s="4" t="s">
        <v>57</v>
      </c>
      <c r="C69" s="4">
        <v>580</v>
      </c>
      <c r="D69" s="4">
        <v>1500</v>
      </c>
      <c r="E69" s="4">
        <v>30</v>
      </c>
      <c r="F69" s="4">
        <v>900</v>
      </c>
      <c r="G69" s="4">
        <v>1500</v>
      </c>
      <c r="H69" s="4">
        <v>900</v>
      </c>
      <c r="I69" s="4" t="s">
        <v>41</v>
      </c>
      <c r="K69" s="6">
        <f t="shared" si="7"/>
        <v>1.7224880382775118</v>
      </c>
      <c r="L69" s="6"/>
      <c r="N69" s="8">
        <f t="shared" si="8"/>
        <v>1.5862068965517242</v>
      </c>
    </row>
    <row r="70" spans="1:17" x14ac:dyDescent="0.2">
      <c r="A70" s="5">
        <v>45170</v>
      </c>
      <c r="B70" s="4" t="s">
        <v>57</v>
      </c>
      <c r="C70" s="4">
        <v>560</v>
      </c>
      <c r="D70" s="4">
        <v>700</v>
      </c>
      <c r="E70" s="4">
        <v>30</v>
      </c>
      <c r="F70" s="4">
        <v>900</v>
      </c>
      <c r="G70" s="4">
        <v>700</v>
      </c>
      <c r="H70" s="4">
        <v>900</v>
      </c>
      <c r="I70" s="4" t="s">
        <v>9</v>
      </c>
      <c r="K70" s="6">
        <f t="shared" si="7"/>
        <v>0.80382775119617222</v>
      </c>
      <c r="L70" s="6"/>
      <c r="N70" s="8">
        <f t="shared" si="8"/>
        <v>0.25</v>
      </c>
    </row>
    <row r="71" spans="1:17" x14ac:dyDescent="0.2">
      <c r="A71" s="5">
        <v>45200</v>
      </c>
      <c r="B71" s="4" t="s">
        <v>57</v>
      </c>
      <c r="C71" s="4">
        <v>980</v>
      </c>
      <c r="D71" s="4">
        <v>1300</v>
      </c>
      <c r="E71" s="4">
        <v>30</v>
      </c>
      <c r="F71" s="4">
        <v>900</v>
      </c>
      <c r="G71" s="4">
        <v>1300</v>
      </c>
      <c r="H71" s="4">
        <v>900</v>
      </c>
      <c r="I71" s="4" t="s">
        <v>22</v>
      </c>
      <c r="K71" s="6">
        <f t="shared" si="7"/>
        <v>1.4928229665071771</v>
      </c>
      <c r="L71" s="6"/>
      <c r="N71" s="8">
        <f t="shared" si="8"/>
        <v>0.32653061224489793</v>
      </c>
    </row>
    <row r="72" spans="1:17" x14ac:dyDescent="0.2">
      <c r="A72" s="5">
        <v>45231</v>
      </c>
      <c r="B72" s="4" t="s">
        <v>57</v>
      </c>
      <c r="C72" s="4">
        <v>600</v>
      </c>
      <c r="D72" s="4">
        <v>850</v>
      </c>
      <c r="E72" s="4">
        <v>30</v>
      </c>
      <c r="F72" s="4">
        <v>900</v>
      </c>
      <c r="G72" s="4">
        <v>850</v>
      </c>
      <c r="H72" s="4">
        <v>900</v>
      </c>
      <c r="I72" s="4" t="s">
        <v>24</v>
      </c>
      <c r="K72" s="6">
        <f t="shared" si="7"/>
        <v>0.97607655502392343</v>
      </c>
      <c r="L72" s="6"/>
      <c r="N72" s="8">
        <f t="shared" si="8"/>
        <v>0.41666666666666669</v>
      </c>
    </row>
    <row r="73" spans="1:17" x14ac:dyDescent="0.2">
      <c r="A73" s="5">
        <v>45261</v>
      </c>
      <c r="B73" s="4" t="s">
        <v>57</v>
      </c>
      <c r="C73" s="4">
        <v>610</v>
      </c>
      <c r="D73" s="4">
        <v>900</v>
      </c>
      <c r="E73" s="4">
        <v>30</v>
      </c>
      <c r="F73" s="4">
        <v>900</v>
      </c>
      <c r="G73" s="4">
        <v>900</v>
      </c>
      <c r="H73" s="4">
        <v>900</v>
      </c>
      <c r="I73" s="4" t="s">
        <v>44</v>
      </c>
      <c r="K73" s="6">
        <f t="shared" si="7"/>
        <v>1.0334928229665072</v>
      </c>
      <c r="L73" s="6"/>
      <c r="N73" s="8">
        <f t="shared" si="8"/>
        <v>0.47540983606557374</v>
      </c>
    </row>
    <row r="74" spans="1:17" x14ac:dyDescent="0.2">
      <c r="A74" s="5">
        <v>45292</v>
      </c>
      <c r="B74" s="4" t="s">
        <v>1</v>
      </c>
      <c r="F74">
        <f>data!J97</f>
        <v>0</v>
      </c>
      <c r="G74" s="1">
        <f>MAX(0,J74+I74-F74)</f>
        <v>1440.5291720186515</v>
      </c>
      <c r="H74" s="1">
        <f t="shared" ref="H74:H109" si="9">F74+G74-I74</f>
        <v>1440.5291720186515</v>
      </c>
      <c r="J74" s="1">
        <f t="shared" ref="J74:J85" si="10">_xlfn.FORECAST.ETS(A74,$D$2:$D$25,$A$2:$A$25,12)</f>
        <v>1440.5291720186515</v>
      </c>
      <c r="K74" s="6"/>
      <c r="L74" s="6" cm="1">
        <f t="array" ref="L74">(AVERAGE(_xlfn._xlws.FILTER($K$2:$K$73, ($B$2:$B$73=B74) * (TEXT($A$2:$A$73, "mmm")=TEXT(A74, "mmm")))))</f>
        <v>0.61269760326364098</v>
      </c>
      <c r="M74" s="1">
        <f t="shared" ref="M74:M85" si="11">AVERAGEIFS($D$2:$D$109,$B$2:$B$109,B74,$A$2:$A$109,"&gt;=2023-1-1")*(1+$T$4)*L74</f>
        <v>1308.2439280496712</v>
      </c>
      <c r="N74" s="8"/>
      <c r="O74" s="1">
        <f>M74*(1+(1.96*$T$6))</f>
        <v>2061.6392488300421</v>
      </c>
      <c r="P74" s="1">
        <f>M74*(1-(1.96*$T$6))</f>
        <v>554.84860726930049</v>
      </c>
      <c r="Q74" s="1">
        <f>O74-P74</f>
        <v>1506.7906415607417</v>
      </c>
    </row>
    <row r="75" spans="1:17" x14ac:dyDescent="0.2">
      <c r="A75" s="5">
        <v>45323</v>
      </c>
      <c r="B75" s="4" t="s">
        <v>1</v>
      </c>
      <c r="F75" s="1">
        <f t="shared" ref="F75:F85" si="12">H74</f>
        <v>1440.5291720186515</v>
      </c>
      <c r="G75" s="1">
        <f t="shared" ref="G75:G109" si="13">MAX(0,J75+I75-F75)</f>
        <v>0</v>
      </c>
      <c r="H75" s="1">
        <f>F75+G75-I75</f>
        <v>1440.5291720186515</v>
      </c>
      <c r="J75" s="1">
        <f t="shared" si="10"/>
        <v>1341.6626117900671</v>
      </c>
      <c r="K75" s="6"/>
      <c r="L75" s="6" cm="1">
        <f t="array" ref="L75">AVERAGE(_xlfn._xlws.FILTER($K$2:$K$73, ($B$2:$B$73=B75) * (TEXT($A$2:$A$73, "mmm")=TEXT(A75, "mmm"))))</f>
        <v>0.61456739758626555</v>
      </c>
      <c r="M75" s="1">
        <f t="shared" si="11"/>
        <v>1312.2363495252009</v>
      </c>
      <c r="N75" s="8"/>
      <c r="O75" s="1">
        <f t="shared" ref="O75:O109" si="14">M75*(1+(1.96*$T$6))</f>
        <v>2067.9308376043882</v>
      </c>
      <c r="P75" s="1">
        <f t="shared" ref="P75:P109" si="15">M75*(1-(1.96*$T$6))</f>
        <v>556.54186144601363</v>
      </c>
      <c r="Q75" s="1">
        <f t="shared" ref="Q75:Q109" si="16">O75-P75</f>
        <v>1511.3889761583746</v>
      </c>
    </row>
    <row r="76" spans="1:17" x14ac:dyDescent="0.2">
      <c r="A76" s="5">
        <v>45352</v>
      </c>
      <c r="B76" s="4" t="s">
        <v>1</v>
      </c>
      <c r="F76" s="1">
        <f t="shared" si="12"/>
        <v>1440.5291720186515</v>
      </c>
      <c r="G76" s="1">
        <f t="shared" si="13"/>
        <v>101.99146302227587</v>
      </c>
      <c r="H76" s="1">
        <f>F76+G76-I76</f>
        <v>1542.5206350409273</v>
      </c>
      <c r="J76" s="1">
        <f t="shared" si="10"/>
        <v>1542.5206350409273</v>
      </c>
      <c r="K76" s="6"/>
      <c r="L76" s="6" cm="1">
        <f t="array" ref="L76">AVERAGE(_xlfn._xlws.FILTER($K$2:$K$73, ($B$2:$B$73=B76) * (TEXT($A$2:$A$73, "mmm")=TEXT(A76, "mmm"))))</f>
        <v>0.70542240353561114</v>
      </c>
      <c r="M76" s="1">
        <f>AVERAGEIFS($D$2:$D$109,$B$2:$B$109,B76,$A$2:$A$109,"&gt;=2023-1-1")*(1+$T$4)*L76</f>
        <v>1506.2317384952521</v>
      </c>
      <c r="N76" s="8"/>
      <c r="O76" s="1">
        <f t="shared" si="14"/>
        <v>2373.6448557760232</v>
      </c>
      <c r="P76" s="1">
        <f t="shared" si="15"/>
        <v>638.81862121448114</v>
      </c>
      <c r="Q76" s="1">
        <f t="shared" si="16"/>
        <v>1734.8262345615422</v>
      </c>
    </row>
    <row r="77" spans="1:17" x14ac:dyDescent="0.2">
      <c r="A77" s="5">
        <v>45383</v>
      </c>
      <c r="B77" s="4" t="s">
        <v>1</v>
      </c>
      <c r="F77" s="1">
        <f t="shared" si="12"/>
        <v>1542.5206350409273</v>
      </c>
      <c r="G77" s="1">
        <f>MAX(0,J77+I77-F77)</f>
        <v>150.96699731520675</v>
      </c>
      <c r="H77" s="1">
        <f t="shared" si="9"/>
        <v>1693.4876323561341</v>
      </c>
      <c r="J77" s="1">
        <f t="shared" si="10"/>
        <v>1693.4876323561341</v>
      </c>
      <c r="K77" s="6"/>
      <c r="L77" s="6" cm="1">
        <f t="array" ref="L77">AVERAGE(_xlfn._xlws.FILTER($K$2:$K$73, ($B$2:$B$73=B77) * (TEXT($A$2:$A$73, "mmm")=TEXT(A77, "mmm"))))</f>
        <v>0.79721230664626885</v>
      </c>
      <c r="M77" s="1">
        <f t="shared" si="11"/>
        <v>1702.2233382030679</v>
      </c>
      <c r="N77" s="8"/>
      <c r="O77" s="1">
        <f t="shared" si="14"/>
        <v>2682.5046683348305</v>
      </c>
      <c r="P77" s="1">
        <f t="shared" si="15"/>
        <v>721.94200807130505</v>
      </c>
      <c r="Q77" s="1">
        <f t="shared" si="16"/>
        <v>1960.5626602635255</v>
      </c>
    </row>
    <row r="78" spans="1:17" x14ac:dyDescent="0.2">
      <c r="A78" s="5">
        <v>45413</v>
      </c>
      <c r="B78" s="4" t="s">
        <v>1</v>
      </c>
      <c r="F78" s="1">
        <f t="shared" si="12"/>
        <v>1693.4876323561341</v>
      </c>
      <c r="G78" s="1">
        <f>MAX(0,J78+I78-F78)</f>
        <v>350.86241836612794</v>
      </c>
      <c r="H78" s="1">
        <f t="shared" si="9"/>
        <v>2044.350050722262</v>
      </c>
      <c r="J78" s="1">
        <f t="shared" si="10"/>
        <v>2044.350050722262</v>
      </c>
      <c r="K78" s="6"/>
      <c r="L78" s="6" cm="1">
        <f t="array" ref="L78">AVERAGE(_xlfn._xlws.FILTER($K$2:$K$73, ($B$2:$B$73=B78) * (TEXT($A$2:$A$73, "mmm")=TEXT(A78, "mmm"))))</f>
        <v>0.96634370219275878</v>
      </c>
      <c r="M78" s="1">
        <f t="shared" si="11"/>
        <v>2063.3560080350621</v>
      </c>
      <c r="N78" s="8"/>
      <c r="O78" s="1">
        <f t="shared" si="14"/>
        <v>3251.6074711052265</v>
      </c>
      <c r="P78" s="1">
        <f t="shared" si="15"/>
        <v>875.10454496489751</v>
      </c>
      <c r="Q78" s="1">
        <f t="shared" si="16"/>
        <v>2376.5029261403288</v>
      </c>
    </row>
    <row r="79" spans="1:17" x14ac:dyDescent="0.2">
      <c r="A79" s="5">
        <v>45444</v>
      </c>
      <c r="B79" s="4" t="s">
        <v>1</v>
      </c>
      <c r="F79" s="1">
        <f t="shared" si="12"/>
        <v>2044.350050722262</v>
      </c>
      <c r="G79" s="1">
        <f t="shared" si="13"/>
        <v>169.43369036560489</v>
      </c>
      <c r="H79" s="1">
        <f t="shared" si="9"/>
        <v>2213.7837410878669</v>
      </c>
      <c r="J79" s="1">
        <f t="shared" si="10"/>
        <v>2213.7837410878669</v>
      </c>
      <c r="K79" s="6"/>
      <c r="L79" s="6" cm="1">
        <f t="array" ref="L79">AVERAGE(_xlfn._xlws.FILTER($K$2:$K$73, ($B$2:$B$73=B79) * (TEXT($A$2:$A$73, "mmm")=TEXT(A79, "mmm"))))</f>
        <v>0.98963114057453683</v>
      </c>
      <c r="M79" s="1">
        <f t="shared" si="11"/>
        <v>2113.0798027757487</v>
      </c>
      <c r="N79" s="8"/>
      <c r="O79" s="1">
        <f t="shared" si="14"/>
        <v>3329.9663494766278</v>
      </c>
      <c r="P79" s="1">
        <f t="shared" si="15"/>
        <v>896.19325607486951</v>
      </c>
      <c r="Q79" s="1">
        <f t="shared" si="16"/>
        <v>2433.7730934017582</v>
      </c>
    </row>
    <row r="80" spans="1:17" x14ac:dyDescent="0.2">
      <c r="A80" s="5">
        <v>45474</v>
      </c>
      <c r="B80" s="4" t="s">
        <v>1</v>
      </c>
      <c r="F80" s="1">
        <f t="shared" si="12"/>
        <v>2213.7837410878669</v>
      </c>
      <c r="G80" s="1">
        <f t="shared" si="13"/>
        <v>0</v>
      </c>
      <c r="H80" s="1">
        <f t="shared" si="9"/>
        <v>2213.7837410878669</v>
      </c>
      <c r="J80" s="1">
        <f t="shared" si="10"/>
        <v>2187.9166084969243</v>
      </c>
      <c r="K80" s="6"/>
      <c r="L80" s="6" cm="1">
        <f t="array" ref="L80">AVERAGE(_xlfn._xlws.FILTER($K$2:$K$73, ($B$2:$B$73=B80) * (TEXT($A$2:$A$73, "mmm")=TEXT(A80, "mmm"))))</f>
        <v>0.9779874213836478</v>
      </c>
      <c r="M80" s="1">
        <f t="shared" si="11"/>
        <v>2088.2179054054054</v>
      </c>
      <c r="N80" s="8"/>
      <c r="O80" s="1">
        <f t="shared" si="14"/>
        <v>3290.7869102909272</v>
      </c>
      <c r="P80" s="1">
        <f t="shared" si="15"/>
        <v>885.64890051988357</v>
      </c>
      <c r="Q80" s="1">
        <f t="shared" si="16"/>
        <v>2405.1380097710435</v>
      </c>
    </row>
    <row r="81" spans="1:17" x14ac:dyDescent="0.2">
      <c r="A81" s="5">
        <v>45505</v>
      </c>
      <c r="B81" s="4" t="s">
        <v>1</v>
      </c>
      <c r="F81" s="1">
        <f t="shared" si="12"/>
        <v>2213.7837410878669</v>
      </c>
      <c r="G81" s="1">
        <f t="shared" si="13"/>
        <v>0</v>
      </c>
      <c r="H81" s="1">
        <f t="shared" si="9"/>
        <v>2213.7837410878669</v>
      </c>
      <c r="J81" s="1">
        <f t="shared" si="10"/>
        <v>1757.8882712799386</v>
      </c>
      <c r="K81" s="6"/>
      <c r="L81" s="6" cm="1">
        <f t="array" ref="L81">AVERAGE(_xlfn._xlws.FILTER($K$2:$K$73, ($B$2:$B$73=B81) * (TEXT($A$2:$A$73, "mmm")=TEXT(A81, "mmm"))))</f>
        <v>0.75573686894441616</v>
      </c>
      <c r="M81" s="1">
        <f t="shared" si="11"/>
        <v>1613.6641709276846</v>
      </c>
      <c r="N81" s="8"/>
      <c r="O81" s="1">
        <f t="shared" si="14"/>
        <v>2542.9457900675179</v>
      </c>
      <c r="P81" s="1">
        <f t="shared" si="15"/>
        <v>684.3825517878513</v>
      </c>
      <c r="Q81" s="1">
        <f t="shared" si="16"/>
        <v>1858.5632382796666</v>
      </c>
    </row>
    <row r="82" spans="1:17" x14ac:dyDescent="0.2">
      <c r="A82" s="5">
        <v>45536</v>
      </c>
      <c r="B82" s="4" t="s">
        <v>1</v>
      </c>
      <c r="F82" s="1">
        <f t="shared" si="12"/>
        <v>2213.7837410878669</v>
      </c>
      <c r="G82" s="1">
        <f t="shared" si="13"/>
        <v>0</v>
      </c>
      <c r="H82" s="1">
        <f t="shared" si="9"/>
        <v>2213.7837410878669</v>
      </c>
      <c r="J82" s="1">
        <f t="shared" si="10"/>
        <v>1753.895794074841</v>
      </c>
      <c r="K82" s="6"/>
      <c r="L82" s="6" cm="1">
        <f t="array" ref="L82">AVERAGE(_xlfn._xlws.FILTER($K$2:$K$73, ($B$2:$B$73=B82) * (TEXT($A$2:$A$73, "mmm")=TEXT(A82, "mmm"))))</f>
        <v>0.75573686894441616</v>
      </c>
      <c r="M82" s="1">
        <f t="shared" si="11"/>
        <v>1613.6641709276846</v>
      </c>
      <c r="N82" s="8"/>
      <c r="O82" s="1">
        <f t="shared" si="14"/>
        <v>2542.9457900675179</v>
      </c>
      <c r="P82" s="1">
        <f t="shared" si="15"/>
        <v>684.3825517878513</v>
      </c>
      <c r="Q82" s="1">
        <f t="shared" si="16"/>
        <v>1858.5632382796666</v>
      </c>
    </row>
    <row r="83" spans="1:17" x14ac:dyDescent="0.2">
      <c r="A83" s="5">
        <v>45566</v>
      </c>
      <c r="B83" s="4" t="s">
        <v>1</v>
      </c>
      <c r="F83" s="1">
        <f t="shared" si="12"/>
        <v>2213.7837410878669</v>
      </c>
      <c r="G83" s="1">
        <f t="shared" si="13"/>
        <v>260.07717730921604</v>
      </c>
      <c r="H83" s="1">
        <f t="shared" si="9"/>
        <v>2473.860918397083</v>
      </c>
      <c r="J83" s="1">
        <f t="shared" si="10"/>
        <v>2473.860918397083</v>
      </c>
      <c r="K83" s="6"/>
      <c r="L83" s="6" cm="1">
        <f t="array" ref="L83">AVERAGE(_xlfn._xlws.FILTER($K$2:$K$73, ($B$2:$B$73=B83) * (TEXT($A$2:$A$73, "mmm")=TEXT(A83, "mmm"))))</f>
        <v>1.1308006119326874</v>
      </c>
      <c r="M83" s="1">
        <f t="shared" si="11"/>
        <v>2414.5076241782322</v>
      </c>
      <c r="N83" s="8"/>
      <c r="O83" s="1">
        <f t="shared" si="14"/>
        <v>3804.981301939757</v>
      </c>
      <c r="P83" s="1">
        <f t="shared" si="15"/>
        <v>1024.0339464167073</v>
      </c>
      <c r="Q83" s="1">
        <f t="shared" si="16"/>
        <v>2780.9473555230497</v>
      </c>
    </row>
    <row r="84" spans="1:17" x14ac:dyDescent="0.2">
      <c r="A84" s="5">
        <v>45597</v>
      </c>
      <c r="B84" s="4" t="s">
        <v>1</v>
      </c>
      <c r="F84" s="1">
        <f t="shared" si="12"/>
        <v>2473.860918397083</v>
      </c>
      <c r="G84" s="1">
        <f t="shared" si="13"/>
        <v>1271.0017156519207</v>
      </c>
      <c r="H84" s="1">
        <f t="shared" si="9"/>
        <v>3744.8626340490036</v>
      </c>
      <c r="J84" s="1">
        <f t="shared" si="10"/>
        <v>3744.8626340490036</v>
      </c>
      <c r="K84" s="6"/>
      <c r="L84" s="6" cm="1">
        <f t="array" ref="L84">AVERAGE(_xlfn._xlws.FILTER($K$2:$K$73, ($B$2:$B$73=B84) * (TEXT($A$2:$A$73, "mmm")=TEXT(A84, "mmm"))))</f>
        <v>1.7938126806051335</v>
      </c>
      <c r="M84" s="1">
        <f t="shared" si="11"/>
        <v>3830.1839846603361</v>
      </c>
      <c r="N84" s="8"/>
      <c r="O84" s="1">
        <f t="shared" si="14"/>
        <v>6035.9214850612943</v>
      </c>
      <c r="P84" s="1">
        <f t="shared" si="15"/>
        <v>1624.4464842593779</v>
      </c>
      <c r="Q84" s="1">
        <f t="shared" si="16"/>
        <v>4411.4750008019164</v>
      </c>
    </row>
    <row r="85" spans="1:17" x14ac:dyDescent="0.2">
      <c r="A85" s="5">
        <v>45627</v>
      </c>
      <c r="B85" s="4" t="s">
        <v>1</v>
      </c>
      <c r="F85" s="1">
        <f t="shared" si="12"/>
        <v>3744.8626340490036</v>
      </c>
      <c r="G85" s="1">
        <f t="shared" si="13"/>
        <v>43.700066052722377</v>
      </c>
      <c r="H85" s="1">
        <f t="shared" si="9"/>
        <v>3788.562700101726</v>
      </c>
      <c r="J85" s="1">
        <f t="shared" si="10"/>
        <v>3788.562700101726</v>
      </c>
      <c r="K85" s="6"/>
      <c r="L85" s="6" cm="1">
        <f t="array" ref="L85">AVERAGE(_xlfn._xlws.FILTER($K$2:$K$73, ($B$2:$B$73=B85) * (TEXT($A$2:$A$73, "mmm")=TEXT(A85, "mmm"))))</f>
        <v>1.9000509943906172</v>
      </c>
      <c r="M85" s="1">
        <f t="shared" si="11"/>
        <v>4057.0261139517897</v>
      </c>
      <c r="N85" s="8"/>
      <c r="O85" s="1">
        <f t="shared" si="14"/>
        <v>6393.3981199673217</v>
      </c>
      <c r="P85" s="1">
        <f t="shared" si="15"/>
        <v>1720.6541079362578</v>
      </c>
      <c r="Q85" s="1">
        <f t="shared" si="16"/>
        <v>4672.7440120310639</v>
      </c>
    </row>
    <row r="86" spans="1:17" x14ac:dyDescent="0.2">
      <c r="A86" s="5">
        <v>45292</v>
      </c>
      <c r="B86" s="4" t="s">
        <v>58</v>
      </c>
      <c r="F86" s="1">
        <f>data!J121</f>
        <v>0</v>
      </c>
      <c r="G86" s="1">
        <f t="shared" si="13"/>
        <v>2938.0355872183568</v>
      </c>
      <c r="H86" s="1">
        <f t="shared" si="9"/>
        <v>2938.0355872183568</v>
      </c>
      <c r="J86" s="1">
        <f t="shared" ref="J86:J97" si="17">_xlfn.FORECAST.ETS(A86,$D$26:$D$49,$A$26:$A$49,12)</f>
        <v>2938.0355872183568</v>
      </c>
      <c r="K86" s="6"/>
      <c r="L86" s="6" cm="1">
        <f t="array" ref="L86">AVERAGE(_xlfn._xlws.FILTER($K$2:$K$73, ($B$2:$B$73=B86) * (TEXT($A$2:$A$73, "mmm")=TEXT(A86, "mmm"))))</f>
        <v>0.96963008740178336</v>
      </c>
      <c r="M86" s="1">
        <f t="shared" ref="M86:M97" si="18">AVERAGEIFS($D$2:$D$109,$B$2:$B$109,B86,$A$2:$A$109,"&gt;=2023-1-1")*(1+$U$4)*L86</f>
        <v>2666.2815722869786</v>
      </c>
      <c r="N86" s="8"/>
      <c r="O86" s="1">
        <f t="shared" si="14"/>
        <v>4201.7475640448029</v>
      </c>
      <c r="P86" s="1">
        <f t="shared" si="15"/>
        <v>1130.8155805291547</v>
      </c>
      <c r="Q86" s="1">
        <f t="shared" si="16"/>
        <v>3070.9319835156484</v>
      </c>
    </row>
    <row r="87" spans="1:17" x14ac:dyDescent="0.2">
      <c r="A87" s="5">
        <v>45323</v>
      </c>
      <c r="B87" s="4" t="s">
        <v>58</v>
      </c>
      <c r="F87" s="1">
        <f t="shared" ref="F87:F97" si="19">H86</f>
        <v>2938.0355872183568</v>
      </c>
      <c r="G87" s="1">
        <f t="shared" si="13"/>
        <v>188.51255183059493</v>
      </c>
      <c r="H87" s="1">
        <f t="shared" si="9"/>
        <v>3126.5481390489517</v>
      </c>
      <c r="J87" s="1">
        <f t="shared" si="17"/>
        <v>3126.5481390489517</v>
      </c>
      <c r="K87" s="6"/>
      <c r="L87" s="6" cm="1">
        <f t="array" ref="L87">AVERAGE(_xlfn._xlws.FILTER($K$2:$K$73, ($B$2:$B$73=B87) * (TEXT($A$2:$A$73, "mmm")=TEXT(A87, "mmm"))))</f>
        <v>0.9784585503663813</v>
      </c>
      <c r="M87" s="1">
        <f t="shared" si="18"/>
        <v>2690.5580138083028</v>
      </c>
      <c r="N87" s="8"/>
      <c r="O87" s="1">
        <f t="shared" si="14"/>
        <v>4240.0043933632478</v>
      </c>
      <c r="P87" s="1">
        <f t="shared" si="15"/>
        <v>1141.1116342533574</v>
      </c>
      <c r="Q87" s="1">
        <f t="shared" si="16"/>
        <v>3098.8927591098904</v>
      </c>
    </row>
    <row r="88" spans="1:17" x14ac:dyDescent="0.2">
      <c r="A88" s="5">
        <v>45352</v>
      </c>
      <c r="B88" s="4" t="s">
        <v>58</v>
      </c>
      <c r="F88" s="1">
        <f t="shared" si="19"/>
        <v>3126.5481390489517</v>
      </c>
      <c r="G88" s="1">
        <f t="shared" si="13"/>
        <v>388.70030478344006</v>
      </c>
      <c r="H88" s="1">
        <f t="shared" si="9"/>
        <v>3515.2484438323918</v>
      </c>
      <c r="J88" s="1">
        <f t="shared" si="17"/>
        <v>3515.2484438323918</v>
      </c>
      <c r="K88" s="6"/>
      <c r="L88" s="6" cm="1">
        <f t="array" ref="L88">AVERAGE(_xlfn._xlws.FILTER($K$2:$K$73, ($B$2:$B$73=B88) * (TEXT($A$2:$A$73, "mmm")=TEXT(A88, "mmm"))))</f>
        <v>1.0796327359406728</v>
      </c>
      <c r="M88" s="1">
        <f t="shared" si="18"/>
        <v>2968.7660336426716</v>
      </c>
      <c r="N88" s="8"/>
      <c r="O88" s="1">
        <f t="shared" si="14"/>
        <v>4678.4276573526258</v>
      </c>
      <c r="P88" s="1">
        <f t="shared" si="15"/>
        <v>1259.1044099327173</v>
      </c>
      <c r="Q88" s="1">
        <f t="shared" si="16"/>
        <v>3419.3232474199085</v>
      </c>
    </row>
    <row r="89" spans="1:17" x14ac:dyDescent="0.2">
      <c r="A89" s="5">
        <v>45383</v>
      </c>
      <c r="B89" s="4" t="s">
        <v>58</v>
      </c>
      <c r="F89" s="1">
        <f t="shared" si="19"/>
        <v>3515.2484438323918</v>
      </c>
      <c r="G89" s="1">
        <f t="shared" si="13"/>
        <v>38.791454289358171</v>
      </c>
      <c r="H89" s="1">
        <f t="shared" si="9"/>
        <v>3554.03989812175</v>
      </c>
      <c r="J89" s="1">
        <f t="shared" si="17"/>
        <v>3554.03989812175</v>
      </c>
      <c r="K89" s="6"/>
      <c r="L89" s="6" cm="1">
        <f t="array" ref="L89">AVERAGE(_xlfn._xlws.FILTER($K$2:$K$73, ($B$2:$B$73=B89) * (TEXT($A$2:$A$73, "mmm")=TEXT(A89, "mmm"))))</f>
        <v>1.0440981725081664</v>
      </c>
      <c r="M89" s="1">
        <f t="shared" si="18"/>
        <v>2871.0533565193441</v>
      </c>
      <c r="N89" s="8"/>
      <c r="O89" s="1">
        <f t="shared" si="14"/>
        <v>4524.4439193458857</v>
      </c>
      <c r="P89" s="1">
        <f t="shared" si="15"/>
        <v>1217.6627936928026</v>
      </c>
      <c r="Q89" s="1">
        <f t="shared" si="16"/>
        <v>3306.7811256530831</v>
      </c>
    </row>
    <row r="90" spans="1:17" x14ac:dyDescent="0.2">
      <c r="A90" s="5">
        <v>45413</v>
      </c>
      <c r="B90" s="4" t="s">
        <v>58</v>
      </c>
      <c r="F90" s="1">
        <f t="shared" si="19"/>
        <v>3554.03989812175</v>
      </c>
      <c r="G90" s="1">
        <f t="shared" si="13"/>
        <v>0</v>
      </c>
      <c r="H90" s="1">
        <f t="shared" si="9"/>
        <v>3554.03989812175</v>
      </c>
      <c r="J90" s="1">
        <f t="shared" si="17"/>
        <v>3492.7996386042219</v>
      </c>
      <c r="K90" s="6"/>
      <c r="L90" s="6" cm="1">
        <f t="array" ref="L90">AVERAGE(_xlfn._xlws.FILTER($K$2:$K$73, ($B$2:$B$73=B90) * (TEXT($A$2:$A$73, "mmm")=TEXT(A90, "mmm"))))</f>
        <v>0.98728701333097901</v>
      </c>
      <c r="M90" s="1">
        <f t="shared" si="18"/>
        <v>2714.8344553296261</v>
      </c>
      <c r="N90" s="8"/>
      <c r="O90" s="1">
        <f t="shared" si="14"/>
        <v>4278.2612226816927</v>
      </c>
      <c r="P90" s="1">
        <f t="shared" si="15"/>
        <v>1151.4076879775596</v>
      </c>
      <c r="Q90" s="1">
        <f t="shared" si="16"/>
        <v>3126.8535347041334</v>
      </c>
    </row>
    <row r="91" spans="1:17" x14ac:dyDescent="0.2">
      <c r="A91" s="5">
        <v>45444</v>
      </c>
      <c r="B91" s="4" t="s">
        <v>58</v>
      </c>
      <c r="F91" s="1">
        <f t="shared" si="19"/>
        <v>3554.03989812175</v>
      </c>
      <c r="G91" s="1">
        <f t="shared" si="13"/>
        <v>0</v>
      </c>
      <c r="H91" s="1">
        <f t="shared" si="9"/>
        <v>3554.03989812175</v>
      </c>
      <c r="J91" s="1">
        <f t="shared" si="17"/>
        <v>2652.176873246246</v>
      </c>
      <c r="K91" s="6"/>
      <c r="L91" s="6" cm="1">
        <f t="array" ref="L91">AVERAGE(_xlfn._xlws.FILTER($K$2:$K$73, ($B$2:$B$73=B91) * (TEXT($A$2:$A$73, "mmm")=TEXT(A91, "mmm"))))</f>
        <v>0.55407433565816189</v>
      </c>
      <c r="M91" s="1">
        <f t="shared" si="18"/>
        <v>1523.5894698782736</v>
      </c>
      <c r="N91" s="8"/>
      <c r="O91" s="1">
        <f t="shared" si="14"/>
        <v>2400.9986080256017</v>
      </c>
      <c r="P91" s="1">
        <f t="shared" si="15"/>
        <v>646.18033173094557</v>
      </c>
      <c r="Q91" s="1">
        <f t="shared" si="16"/>
        <v>1754.8182762946562</v>
      </c>
    </row>
    <row r="92" spans="1:17" x14ac:dyDescent="0.2">
      <c r="A92" s="5">
        <v>45474</v>
      </c>
      <c r="B92" s="4" t="s">
        <v>58</v>
      </c>
      <c r="F92" s="1">
        <f t="shared" si="19"/>
        <v>3554.03989812175</v>
      </c>
      <c r="G92" s="1">
        <f>MAX(0,J92+I92-F92)</f>
        <v>229.73989956876358</v>
      </c>
      <c r="H92" s="1">
        <f t="shared" si="9"/>
        <v>3783.7797976905135</v>
      </c>
      <c r="J92" s="1">
        <f t="shared" si="17"/>
        <v>3783.7797976905135</v>
      </c>
      <c r="K92" s="6"/>
      <c r="L92" s="6" cm="1">
        <f t="array" ref="L92">AVERAGE(_xlfn._xlws.FILTER($K$2:$K$73, ($B$2:$B$73=B92) * (TEXT($A$2:$A$73, "mmm")=TEXT(A92, "mmm"))))</f>
        <v>1.0334598746358259</v>
      </c>
      <c r="M92" s="1">
        <f t="shared" si="18"/>
        <v>2841.8002444861486</v>
      </c>
      <c r="N92" s="8"/>
      <c r="O92" s="1">
        <f t="shared" si="14"/>
        <v>4478.3444400171584</v>
      </c>
      <c r="P92" s="1">
        <f t="shared" si="15"/>
        <v>1205.2560489551383</v>
      </c>
      <c r="Q92" s="1">
        <f t="shared" si="16"/>
        <v>3273.08839106202</v>
      </c>
    </row>
    <row r="93" spans="1:17" x14ac:dyDescent="0.2">
      <c r="A93" s="5">
        <v>45505</v>
      </c>
      <c r="B93" s="4" t="s">
        <v>58</v>
      </c>
      <c r="F93" s="1">
        <f t="shared" si="19"/>
        <v>3783.7797976905135</v>
      </c>
      <c r="G93" s="1">
        <f t="shared" si="13"/>
        <v>209.65086976064276</v>
      </c>
      <c r="H93" s="1">
        <f t="shared" si="9"/>
        <v>3993.4306674511563</v>
      </c>
      <c r="J93" s="1">
        <f t="shared" si="17"/>
        <v>3993.4306674511563</v>
      </c>
      <c r="K93" s="6"/>
      <c r="L93" s="6" cm="1">
        <f t="array" ref="L93">AVERAGE(_xlfn._xlws.FILTER($K$2:$K$73, ($B$2:$B$73=B93) * (TEXT($A$2:$A$73, "mmm")=TEXT(A93, "mmm"))))</f>
        <v>1.0884611989052706</v>
      </c>
      <c r="M93" s="1">
        <f t="shared" si="18"/>
        <v>2993.0424751639953</v>
      </c>
      <c r="N93" s="8"/>
      <c r="O93" s="1">
        <f t="shared" si="14"/>
        <v>4716.6844866710708</v>
      </c>
      <c r="P93" s="1">
        <f t="shared" si="15"/>
        <v>1269.4004636569198</v>
      </c>
      <c r="Q93" s="1">
        <f t="shared" si="16"/>
        <v>3447.284023014151</v>
      </c>
    </row>
    <row r="94" spans="1:17" x14ac:dyDescent="0.2">
      <c r="A94" s="5">
        <v>45536</v>
      </c>
      <c r="B94" s="4" t="s">
        <v>58</v>
      </c>
      <c r="F94" s="1">
        <f t="shared" si="19"/>
        <v>3993.4306674511563</v>
      </c>
      <c r="G94" s="1">
        <f t="shared" si="13"/>
        <v>0</v>
      </c>
      <c r="H94" s="1">
        <f t="shared" si="9"/>
        <v>3993.4306674511563</v>
      </c>
      <c r="J94" s="1">
        <f t="shared" si="17"/>
        <v>3831.211546017847</v>
      </c>
      <c r="K94" s="6"/>
      <c r="L94" s="6" cm="1">
        <f t="array" ref="L94">AVERAGE(_xlfn._xlws.FILTER($K$2:$K$73, ($B$2:$B$73=B94) * (TEXT($A$2:$A$73, "mmm")=TEXT(A94, "mmm"))))</f>
        <v>0.97302904564315362</v>
      </c>
      <c r="M94" s="1">
        <f t="shared" si="18"/>
        <v>2675.6280022726887</v>
      </c>
      <c r="N94" s="8"/>
      <c r="O94" s="1">
        <f t="shared" si="14"/>
        <v>4216.4764433324044</v>
      </c>
      <c r="P94" s="1">
        <f t="shared" si="15"/>
        <v>1134.7795612129728</v>
      </c>
      <c r="Q94" s="1">
        <f t="shared" si="16"/>
        <v>3081.6968821194314</v>
      </c>
    </row>
    <row r="95" spans="1:17" x14ac:dyDescent="0.2">
      <c r="A95" s="5">
        <v>45566</v>
      </c>
      <c r="B95" s="4" t="s">
        <v>58</v>
      </c>
      <c r="F95" s="1">
        <f t="shared" si="19"/>
        <v>3993.4306674511563</v>
      </c>
      <c r="G95" s="1">
        <f t="shared" si="13"/>
        <v>76.611136315281783</v>
      </c>
      <c r="H95" s="1">
        <f t="shared" si="9"/>
        <v>4070.0418037664381</v>
      </c>
      <c r="J95" s="1">
        <f t="shared" si="17"/>
        <v>4070.0418037664381</v>
      </c>
      <c r="K95" s="6"/>
      <c r="L95" s="6" cm="1">
        <f t="array" ref="L95">AVERAGE(_xlfn._xlws.FILTER($K$2:$K$73, ($B$2:$B$73=B95) * (TEXT($A$2:$A$73, "mmm")=TEXT(A95, "mmm"))))</f>
        <v>1.0422883376004237</v>
      </c>
      <c r="M95" s="1">
        <f t="shared" si="18"/>
        <v>2866.0766860074723</v>
      </c>
      <c r="N95" s="8"/>
      <c r="O95" s="1">
        <f t="shared" si="14"/>
        <v>4516.6012693356033</v>
      </c>
      <c r="P95" s="1">
        <f t="shared" si="15"/>
        <v>1215.5521026793408</v>
      </c>
      <c r="Q95" s="1">
        <f t="shared" si="16"/>
        <v>3301.0491666562625</v>
      </c>
    </row>
    <row r="96" spans="1:17" x14ac:dyDescent="0.2">
      <c r="A96" s="5">
        <v>45597</v>
      </c>
      <c r="B96" s="4" t="s">
        <v>58</v>
      </c>
      <c r="F96" s="1">
        <f t="shared" si="19"/>
        <v>4070.0418037664381</v>
      </c>
      <c r="G96" s="1">
        <f t="shared" si="13"/>
        <v>212.79429815534741</v>
      </c>
      <c r="H96" s="1">
        <f t="shared" si="9"/>
        <v>4282.8361019217855</v>
      </c>
      <c r="J96" s="1">
        <f t="shared" si="17"/>
        <v>4282.8361019217855</v>
      </c>
      <c r="K96" s="6"/>
      <c r="L96" s="6" cm="1">
        <f t="array" ref="L96">AVERAGE(_xlfn._xlws.FILTER($K$2:$K$73, ($B$2:$B$73=B96) * (TEXT($A$2:$A$73, "mmm")=TEXT(A96, "mmm"))))</f>
        <v>1.0972896618698686</v>
      </c>
      <c r="M96" s="1">
        <f t="shared" si="18"/>
        <v>3017.3189166853194</v>
      </c>
      <c r="N96" s="8"/>
      <c r="O96" s="1">
        <f t="shared" si="14"/>
        <v>4754.9413159895166</v>
      </c>
      <c r="P96" s="1">
        <f t="shared" si="15"/>
        <v>1279.6965173811222</v>
      </c>
      <c r="Q96" s="1">
        <f t="shared" si="16"/>
        <v>3475.2447986083944</v>
      </c>
    </row>
    <row r="97" spans="1:17" x14ac:dyDescent="0.2">
      <c r="A97" s="5">
        <v>45627</v>
      </c>
      <c r="B97" s="4" t="s">
        <v>58</v>
      </c>
      <c r="F97" s="1">
        <f t="shared" si="19"/>
        <v>4282.8361019217855</v>
      </c>
      <c r="G97" s="1">
        <f t="shared" si="13"/>
        <v>22.548248237052576</v>
      </c>
      <c r="H97" s="1">
        <f t="shared" si="9"/>
        <v>4305.3843501588381</v>
      </c>
      <c r="J97" s="1">
        <f t="shared" si="17"/>
        <v>4305.3843501588381</v>
      </c>
      <c r="K97" s="6"/>
      <c r="L97" s="6" cm="1">
        <f t="array" ref="L97">AVERAGE(_xlfn._xlws.FILTER($K$2:$K$73, ($B$2:$B$73=B97) * (TEXT($A$2:$A$73, "mmm")=TEXT(A97, "mmm"))))</f>
        <v>1.1522909861393131</v>
      </c>
      <c r="M97" s="1">
        <f t="shared" si="18"/>
        <v>3168.5611473631652</v>
      </c>
      <c r="N97" s="8"/>
      <c r="O97" s="1">
        <f t="shared" si="14"/>
        <v>4993.2813626434272</v>
      </c>
      <c r="P97" s="1">
        <f t="shared" si="15"/>
        <v>1343.8409320829032</v>
      </c>
      <c r="Q97" s="1">
        <f t="shared" si="16"/>
        <v>3649.440430560524</v>
      </c>
    </row>
    <row r="98" spans="1:17" x14ac:dyDescent="0.2">
      <c r="A98" s="5">
        <v>45292</v>
      </c>
      <c r="B98" s="4" t="s">
        <v>57</v>
      </c>
      <c r="F98" s="1">
        <f>data!J145</f>
        <v>0</v>
      </c>
      <c r="G98" s="1">
        <f t="shared" si="13"/>
        <v>830.46245656905251</v>
      </c>
      <c r="H98" s="1">
        <f t="shared" si="9"/>
        <v>830.46245656905251</v>
      </c>
      <c r="J98" s="1">
        <f>_xlfn.FORECAST.ETS(A98,$D$50:$D$73,$A$50:$A$73,12)</f>
        <v>830.46245656905251</v>
      </c>
      <c r="K98" s="6"/>
      <c r="L98" s="6" cm="1">
        <f t="array" ref="L98">AVERAGE(_xlfn._xlws.FILTER($K$2:$K$73, ($B$2:$B$73=B98) * (TEXT($A$2:$A$73, "mmm")=TEXT(A98, "mmm"))))</f>
        <v>0.68366370471633631</v>
      </c>
      <c r="M98" s="1">
        <f t="shared" ref="M98:M109" si="20">AVERAGEIFS($D$2:$D$109,$B$2:$B$109,B98,$A$2:$A$109,"&gt;=2023-1-1")*(1+$V$4)*L98</f>
        <v>807.98469387755119</v>
      </c>
      <c r="N98" s="8"/>
      <c r="O98" s="1">
        <f t="shared" si="14"/>
        <v>1273.2892709352902</v>
      </c>
      <c r="P98" s="1">
        <f t="shared" si="15"/>
        <v>342.68011681981221</v>
      </c>
      <c r="Q98" s="1">
        <f t="shared" si="16"/>
        <v>930.60915411547808</v>
      </c>
    </row>
    <row r="99" spans="1:17" x14ac:dyDescent="0.2">
      <c r="A99" s="5">
        <v>45323</v>
      </c>
      <c r="B99" s="4" t="s">
        <v>57</v>
      </c>
      <c r="F99" s="1">
        <f t="shared" ref="F99:F109" si="21">H98</f>
        <v>830.46245656905251</v>
      </c>
      <c r="G99" s="1">
        <f t="shared" si="13"/>
        <v>39.764446254815653</v>
      </c>
      <c r="H99" s="1">
        <f t="shared" si="9"/>
        <v>870.22690282386816</v>
      </c>
      <c r="J99" s="1">
        <f t="shared" ref="J99:J109" si="22">_xlfn.FORECAST.ETS(A99,$D$50:$D$73,$A$50:$A$73,12)</f>
        <v>870.22690282386816</v>
      </c>
      <c r="K99" s="6"/>
      <c r="L99" s="6" cm="1">
        <f t="array" ref="L99">AVERAGE(_xlfn._xlws.FILTER($K$2:$K$73, ($B$2:$B$73=B99) * (TEXT($A$2:$A$73, "mmm")=TEXT(A99, "mmm"))))</f>
        <v>0.74559125085440869</v>
      </c>
      <c r="M99" s="1">
        <f t="shared" si="20"/>
        <v>881.17346938775518</v>
      </c>
      <c r="N99" s="8"/>
      <c r="O99" s="1">
        <f t="shared" si="14"/>
        <v>1388.6262114939157</v>
      </c>
      <c r="P99" s="1">
        <f t="shared" si="15"/>
        <v>373.7207272815948</v>
      </c>
      <c r="Q99" s="1">
        <f t="shared" si="16"/>
        <v>1014.9054842123209</v>
      </c>
    </row>
    <row r="100" spans="1:17" x14ac:dyDescent="0.2">
      <c r="A100" s="5">
        <v>45352</v>
      </c>
      <c r="B100" s="4" t="s">
        <v>57</v>
      </c>
      <c r="F100" s="1">
        <f t="shared" si="21"/>
        <v>870.22690282386816</v>
      </c>
      <c r="G100" s="1">
        <f t="shared" si="13"/>
        <v>0</v>
      </c>
      <c r="H100" s="1">
        <f t="shared" si="9"/>
        <v>870.22690282386816</v>
      </c>
      <c r="J100" s="1">
        <f t="shared" si="22"/>
        <v>850.04973425605624</v>
      </c>
      <c r="K100" s="6"/>
      <c r="L100" s="6" cm="1">
        <f t="array" ref="L100">AVERAGE(_xlfn._xlws.FILTER($K$2:$K$73, ($B$2:$B$73=B100) * (TEXT($A$2:$A$73, "mmm")=TEXT(A100, "mmm"))))</f>
        <v>0.77306903622693102</v>
      </c>
      <c r="M100" s="1">
        <f t="shared" si="20"/>
        <v>913.64795918367372</v>
      </c>
      <c r="N100" s="8"/>
      <c r="O100" s="1">
        <f t="shared" si="14"/>
        <v>1439.8022049868159</v>
      </c>
      <c r="P100" s="1">
        <f t="shared" si="15"/>
        <v>387.49371338053152</v>
      </c>
      <c r="Q100" s="1">
        <f t="shared" si="16"/>
        <v>1052.3084916062844</v>
      </c>
    </row>
    <row r="101" spans="1:17" x14ac:dyDescent="0.2">
      <c r="A101" s="5">
        <v>45383</v>
      </c>
      <c r="B101" s="4" t="s">
        <v>57</v>
      </c>
      <c r="F101" s="1">
        <f t="shared" si="21"/>
        <v>870.22690282386816</v>
      </c>
      <c r="G101" s="1">
        <f t="shared" si="13"/>
        <v>579.26705819287599</v>
      </c>
      <c r="H101" s="1">
        <f t="shared" si="9"/>
        <v>1449.4939610167442</v>
      </c>
      <c r="J101" s="1">
        <f t="shared" si="22"/>
        <v>1449.4939610167442</v>
      </c>
      <c r="K101" s="6"/>
      <c r="L101" s="6" cm="1">
        <f t="array" ref="L101">AVERAGE(_xlfn._xlws.FILTER($K$2:$K$73, ($B$2:$B$73=B101) * (TEXT($A$2:$A$73, "mmm")=TEXT(A101, "mmm"))))</f>
        <v>1.3513328776486671</v>
      </c>
      <c r="M101" s="1">
        <f t="shared" si="20"/>
        <v>1597.0663265306125</v>
      </c>
      <c r="N101" s="8"/>
      <c r="O101" s="1">
        <f t="shared" si="14"/>
        <v>2516.7895307329218</v>
      </c>
      <c r="P101" s="1">
        <f t="shared" si="15"/>
        <v>677.34312232830302</v>
      </c>
      <c r="Q101" s="1">
        <f t="shared" si="16"/>
        <v>1839.4464084046188</v>
      </c>
    </row>
    <row r="102" spans="1:17" x14ac:dyDescent="0.2">
      <c r="A102" s="5">
        <v>45413</v>
      </c>
      <c r="B102" s="4" t="s">
        <v>57</v>
      </c>
      <c r="F102" s="1">
        <f t="shared" si="21"/>
        <v>1449.4939610167442</v>
      </c>
      <c r="G102" s="1">
        <f t="shared" si="13"/>
        <v>0</v>
      </c>
      <c r="H102" s="1">
        <f t="shared" si="9"/>
        <v>1449.4939610167442</v>
      </c>
      <c r="J102" s="1">
        <f t="shared" si="22"/>
        <v>999.47667708227414</v>
      </c>
      <c r="K102" s="6"/>
      <c r="L102" s="6" cm="1">
        <f t="array" ref="L102">AVERAGE(_xlfn._xlws.FILTER($K$2:$K$73, ($B$2:$B$73=B102) * (TEXT($A$2:$A$73, "mmm")=TEXT(A102, "mmm"))))</f>
        <v>0.89815447710184548</v>
      </c>
      <c r="M102" s="1">
        <f t="shared" si="20"/>
        <v>1061.4795918367349</v>
      </c>
      <c r="N102" s="8"/>
      <c r="O102" s="1">
        <f t="shared" si="14"/>
        <v>1672.7675484992715</v>
      </c>
      <c r="P102" s="1">
        <f t="shared" si="15"/>
        <v>450.19163517419844</v>
      </c>
      <c r="Q102" s="1">
        <f t="shared" si="16"/>
        <v>1222.5759133250731</v>
      </c>
    </row>
    <row r="103" spans="1:17" x14ac:dyDescent="0.2">
      <c r="A103" s="5">
        <v>45444</v>
      </c>
      <c r="B103" s="4" t="s">
        <v>57</v>
      </c>
      <c r="F103" s="1">
        <f t="shared" si="21"/>
        <v>1449.4939610167442</v>
      </c>
      <c r="G103" s="1">
        <f t="shared" si="13"/>
        <v>0</v>
      </c>
      <c r="H103" s="1">
        <f t="shared" si="9"/>
        <v>1449.4939610167442</v>
      </c>
      <c r="J103" s="1">
        <f t="shared" si="22"/>
        <v>963.73475155932738</v>
      </c>
      <c r="K103" s="6"/>
      <c r="L103" s="6" cm="1">
        <f t="array" ref="L103">AVERAGE(_xlfn._xlws.FILTER($K$2:$K$73, ($B$2:$B$73=B103) * (TEXT($A$2:$A$73, "mmm")=TEXT(A103, "mmm"))))</f>
        <v>0.80177717019822281</v>
      </c>
      <c r="M103" s="1">
        <f t="shared" si="20"/>
        <v>947.57653061224505</v>
      </c>
      <c r="N103" s="8"/>
      <c r="O103" s="1">
        <f t="shared" si="14"/>
        <v>1493.2696608749204</v>
      </c>
      <c r="P103" s="1">
        <f t="shared" si="15"/>
        <v>401.8834003495698</v>
      </c>
      <c r="Q103" s="1">
        <f t="shared" si="16"/>
        <v>1091.3862605253507</v>
      </c>
    </row>
    <row r="104" spans="1:17" x14ac:dyDescent="0.2">
      <c r="A104" s="5">
        <v>45474</v>
      </c>
      <c r="B104" s="4" t="s">
        <v>57</v>
      </c>
      <c r="F104" s="1">
        <f t="shared" si="21"/>
        <v>1449.4939610167442</v>
      </c>
      <c r="G104" s="1">
        <f>MAX(0,J104+I104-F104)</f>
        <v>0</v>
      </c>
      <c r="H104" s="1">
        <f t="shared" si="9"/>
        <v>1449.4939610167442</v>
      </c>
      <c r="J104" s="1">
        <f t="shared" si="22"/>
        <v>1061.4366810561683</v>
      </c>
      <c r="K104" s="6"/>
      <c r="L104" s="6" cm="1">
        <f t="array" ref="L104">AVERAGE(_xlfn._xlws.FILTER($K$2:$K$73, ($B$2:$B$73=B104) * (TEXT($A$2:$A$73, "mmm")=TEXT(A104, "mmm"))))</f>
        <v>0.92686261107313739</v>
      </c>
      <c r="M104" s="1">
        <f t="shared" si="20"/>
        <v>1095.4081632653063</v>
      </c>
      <c r="N104" s="8"/>
      <c r="O104" s="1">
        <f t="shared" si="14"/>
        <v>1726.2350043873757</v>
      </c>
      <c r="P104" s="1">
        <f t="shared" si="15"/>
        <v>464.58132214323666</v>
      </c>
      <c r="Q104" s="1">
        <f t="shared" si="16"/>
        <v>1261.653682244139</v>
      </c>
    </row>
    <row r="105" spans="1:17" x14ac:dyDescent="0.2">
      <c r="A105" s="5">
        <v>45505</v>
      </c>
      <c r="B105" s="4" t="s">
        <v>57</v>
      </c>
      <c r="F105" s="1">
        <f t="shared" si="21"/>
        <v>1449.4939610167442</v>
      </c>
      <c r="G105" s="1">
        <f t="shared" si="13"/>
        <v>84.434978164076483</v>
      </c>
      <c r="H105" s="1">
        <f t="shared" si="9"/>
        <v>1533.9289391808206</v>
      </c>
      <c r="J105" s="1">
        <f t="shared" si="22"/>
        <v>1533.9289391808206</v>
      </c>
      <c r="K105" s="6"/>
      <c r="L105" s="6" cm="1">
        <f t="array" ref="L105">AVERAGE(_xlfn._xlws.FILTER($K$2:$K$73, ($B$2:$B$73=B105) * (TEXT($A$2:$A$73, "mmm")=TEXT(A105, "mmm"))))</f>
        <v>1.5235816814764183</v>
      </c>
      <c r="M105" s="1">
        <f t="shared" si="20"/>
        <v>1800.637755102041</v>
      </c>
      <c r="N105" s="8"/>
      <c r="O105" s="1">
        <f t="shared" si="14"/>
        <v>2837.5942660615492</v>
      </c>
      <c r="P105" s="1">
        <f t="shared" si="15"/>
        <v>763.68124414253282</v>
      </c>
      <c r="Q105" s="1">
        <f t="shared" si="16"/>
        <v>2073.9130219190165</v>
      </c>
    </row>
    <row r="106" spans="1:17" x14ac:dyDescent="0.2">
      <c r="A106" s="5">
        <v>45536</v>
      </c>
      <c r="B106" s="4" t="s">
        <v>57</v>
      </c>
      <c r="F106" s="1">
        <f t="shared" si="21"/>
        <v>1533.9289391808206</v>
      </c>
      <c r="G106" s="1">
        <f t="shared" si="13"/>
        <v>0</v>
      </c>
      <c r="H106" s="1">
        <f t="shared" si="9"/>
        <v>1533.9289391808206</v>
      </c>
      <c r="J106" s="1">
        <f t="shared" si="22"/>
        <v>954.96353225168332</v>
      </c>
      <c r="K106" s="6"/>
      <c r="L106" s="6" cm="1">
        <f t="array" ref="L106">AVERAGE(_xlfn._xlws.FILTER($K$2:$K$73, ($B$2:$B$73=B106) * (TEXT($A$2:$A$73, "mmm")=TEXT(A106, "mmm"))))</f>
        <v>0.79152426520847574</v>
      </c>
      <c r="M106" s="1">
        <f t="shared" si="20"/>
        <v>935.45918367346951</v>
      </c>
      <c r="N106" s="8"/>
      <c r="O106" s="1">
        <f t="shared" si="14"/>
        <v>1474.1741409148829</v>
      </c>
      <c r="P106" s="1">
        <f t="shared" si="15"/>
        <v>396.74422643205611</v>
      </c>
      <c r="Q106" s="1">
        <f t="shared" si="16"/>
        <v>1077.4299144828267</v>
      </c>
    </row>
    <row r="107" spans="1:17" x14ac:dyDescent="0.2">
      <c r="A107" s="5">
        <v>45566</v>
      </c>
      <c r="B107" s="4" t="s">
        <v>57</v>
      </c>
      <c r="F107" s="1">
        <f t="shared" si="21"/>
        <v>1533.9289391808206</v>
      </c>
      <c r="G107" s="1">
        <f t="shared" si="13"/>
        <v>0</v>
      </c>
      <c r="H107" s="1">
        <f t="shared" si="9"/>
        <v>1533.9289391808206</v>
      </c>
      <c r="J107" s="1">
        <f t="shared" si="22"/>
        <v>1507.2340708432926</v>
      </c>
      <c r="K107" s="6"/>
      <c r="L107" s="6" cm="1">
        <f t="array" ref="L107">AVERAGE(_xlfn._xlws.FILTER($K$2:$K$73, ($B$2:$B$73=B107) * (TEXT($A$2:$A$73, "mmm")=TEXT(A107, "mmm"))))</f>
        <v>1.5256322624743679</v>
      </c>
      <c r="M107" s="1">
        <f t="shared" si="20"/>
        <v>1803.0612244897964</v>
      </c>
      <c r="N107" s="8"/>
      <c r="O107" s="1">
        <f t="shared" si="14"/>
        <v>2841.4133700535572</v>
      </c>
      <c r="P107" s="1">
        <f t="shared" si="15"/>
        <v>764.70907892603566</v>
      </c>
      <c r="Q107" s="1">
        <f t="shared" si="16"/>
        <v>2076.7042911275216</v>
      </c>
    </row>
    <row r="108" spans="1:17" x14ac:dyDescent="0.2">
      <c r="A108" s="5">
        <v>45597</v>
      </c>
      <c r="B108" s="4" t="s">
        <v>57</v>
      </c>
      <c r="F108" s="1">
        <f t="shared" si="21"/>
        <v>1533.9289391808206</v>
      </c>
      <c r="G108" s="1">
        <f t="shared" si="13"/>
        <v>0</v>
      </c>
      <c r="H108" s="1">
        <f t="shared" si="9"/>
        <v>1533.9289391808206</v>
      </c>
      <c r="J108" s="1">
        <f t="shared" si="22"/>
        <v>1080.3460912567161</v>
      </c>
      <c r="K108" s="6"/>
      <c r="L108" s="6" cm="1">
        <f t="array" ref="L108">AVERAGE(_xlfn._xlws.FILTER($K$2:$K$73, ($B$2:$B$73=B108) * (TEXT($A$2:$A$73, "mmm")=TEXT(A108, "mmm"))))</f>
        <v>0.95557074504442929</v>
      </c>
      <c r="M108" s="1">
        <f t="shared" si="20"/>
        <v>1129.3367346938778</v>
      </c>
      <c r="N108" s="8"/>
      <c r="O108" s="1">
        <f t="shared" si="14"/>
        <v>1779.7024602754807</v>
      </c>
      <c r="P108" s="1">
        <f t="shared" si="15"/>
        <v>478.97100911227506</v>
      </c>
      <c r="Q108" s="1">
        <f t="shared" si="16"/>
        <v>1300.7314511632057</v>
      </c>
    </row>
    <row r="109" spans="1:17" x14ac:dyDescent="0.2">
      <c r="A109" s="5">
        <v>45627</v>
      </c>
      <c r="B109" s="4" t="s">
        <v>57</v>
      </c>
      <c r="F109" s="1">
        <f t="shared" si="21"/>
        <v>1533.9289391808206</v>
      </c>
      <c r="G109" s="1">
        <f t="shared" si="13"/>
        <v>0</v>
      </c>
      <c r="H109" s="1">
        <f t="shared" si="9"/>
        <v>1533.9289391808206</v>
      </c>
      <c r="J109" s="1">
        <f t="shared" si="22"/>
        <v>1126.8976292554771</v>
      </c>
      <c r="K109" s="6"/>
      <c r="L109" s="6" cm="1">
        <f t="array" ref="L109">AVERAGE(_xlfn._xlws.FILTER($K$2:$K$73, ($B$2:$B$73=B109) * (TEXT($A$2:$A$73, "mmm")=TEXT(A109, "mmm"))))</f>
        <v>1.0232399179767602</v>
      </c>
      <c r="M109" s="1">
        <f t="shared" si="20"/>
        <v>1209.3112244897961</v>
      </c>
      <c r="N109" s="8"/>
      <c r="O109" s="1">
        <f t="shared" si="14"/>
        <v>1905.732892011727</v>
      </c>
      <c r="P109" s="1">
        <f t="shared" si="15"/>
        <v>512.88955696786525</v>
      </c>
      <c r="Q109" s="1">
        <f t="shared" si="16"/>
        <v>1392.8433350438618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905A4-D5C7-4D4A-A68E-E28E9C939CF3}">
  <sheetPr>
    <tabColor theme="2" tint="-9.9978637043366805E-2"/>
  </sheetPr>
  <dimension ref="A1:P73"/>
  <sheetViews>
    <sheetView zoomScale="125" workbookViewId="0">
      <selection sqref="A1:I73"/>
    </sheetView>
  </sheetViews>
  <sheetFormatPr baseColWidth="10" defaultRowHeight="16" x14ac:dyDescent="0.2"/>
  <cols>
    <col min="1" max="1" width="11.33203125" bestFit="1" customWidth="1"/>
    <col min="2" max="2" width="11.5" bestFit="1" customWidth="1"/>
    <col min="3" max="3" width="11" customWidth="1"/>
    <col min="5" max="5" width="12.33203125" customWidth="1"/>
    <col min="7" max="7" width="13.1640625" customWidth="1"/>
    <col min="9" max="9" width="17.6640625" bestFit="1" customWidth="1"/>
  </cols>
  <sheetData>
    <row r="1" spans="1:16" x14ac:dyDescent="0.2">
      <c r="A1" s="3" t="s">
        <v>5</v>
      </c>
      <c r="B1" s="3" t="s">
        <v>0</v>
      </c>
      <c r="C1" s="3" t="s">
        <v>4</v>
      </c>
      <c r="D1" s="3" t="s">
        <v>3</v>
      </c>
      <c r="E1" s="3" t="s">
        <v>6</v>
      </c>
      <c r="F1" s="3" t="s">
        <v>7</v>
      </c>
      <c r="G1" s="3" t="s">
        <v>67</v>
      </c>
      <c r="H1" s="3" t="s">
        <v>8</v>
      </c>
      <c r="I1" s="3" t="s">
        <v>27</v>
      </c>
      <c r="K1" s="3"/>
      <c r="L1" s="3"/>
    </row>
    <row r="2" spans="1:16" x14ac:dyDescent="0.2">
      <c r="A2" s="5">
        <v>44562</v>
      </c>
      <c r="B2" s="4" t="s">
        <v>1</v>
      </c>
      <c r="C2" s="4">
        <v>1200</v>
      </c>
      <c r="D2" s="4">
        <v>1150</v>
      </c>
      <c r="E2" s="4">
        <v>14</v>
      </c>
      <c r="F2" s="4">
        <v>2000</v>
      </c>
      <c r="G2" s="4">
        <v>1250</v>
      </c>
      <c r="H2" s="4">
        <v>2100</v>
      </c>
      <c r="I2" s="4" t="s">
        <v>31</v>
      </c>
    </row>
    <row r="3" spans="1:16" x14ac:dyDescent="0.2">
      <c r="A3" s="5">
        <v>44593</v>
      </c>
      <c r="B3" s="4" t="s">
        <v>1</v>
      </c>
      <c r="C3" s="4">
        <v>1150</v>
      </c>
      <c r="D3" s="4">
        <v>1250</v>
      </c>
      <c r="E3" s="4">
        <v>14</v>
      </c>
      <c r="F3" s="4">
        <v>2100</v>
      </c>
      <c r="G3" s="4">
        <v>1200</v>
      </c>
      <c r="H3" s="4">
        <v>2050</v>
      </c>
      <c r="I3" s="4" t="s">
        <v>31</v>
      </c>
    </row>
    <row r="4" spans="1:16" x14ac:dyDescent="0.2">
      <c r="A4" s="5">
        <v>44621</v>
      </c>
      <c r="B4" s="4" t="s">
        <v>1</v>
      </c>
      <c r="C4" s="4">
        <v>1300</v>
      </c>
      <c r="D4" s="4">
        <v>1400</v>
      </c>
      <c r="E4" s="4">
        <v>15</v>
      </c>
      <c r="F4" s="4">
        <v>2050</v>
      </c>
      <c r="G4" s="4">
        <v>1350</v>
      </c>
      <c r="H4" s="4">
        <v>2000</v>
      </c>
      <c r="I4" s="4" t="s">
        <v>32</v>
      </c>
    </row>
    <row r="5" spans="1:16" x14ac:dyDescent="0.2">
      <c r="A5" s="5">
        <v>44652</v>
      </c>
      <c r="B5" s="4" t="s">
        <v>1</v>
      </c>
      <c r="C5" s="4">
        <v>1250</v>
      </c>
      <c r="D5" s="4">
        <v>1600</v>
      </c>
      <c r="E5" s="4">
        <v>14</v>
      </c>
      <c r="F5" s="4">
        <v>2000</v>
      </c>
      <c r="G5" s="4">
        <v>1300</v>
      </c>
      <c r="H5" s="4">
        <v>1700</v>
      </c>
      <c r="I5" s="4" t="s">
        <v>47</v>
      </c>
    </row>
    <row r="6" spans="1:16" x14ac:dyDescent="0.2">
      <c r="A6" s="5">
        <v>44682</v>
      </c>
      <c r="B6" s="4" t="s">
        <v>1</v>
      </c>
      <c r="C6" s="4">
        <v>1400</v>
      </c>
      <c r="D6" s="4">
        <v>1900</v>
      </c>
      <c r="E6" s="4">
        <v>16</v>
      </c>
      <c r="F6" s="4">
        <v>1700</v>
      </c>
      <c r="G6" s="4">
        <v>1450</v>
      </c>
      <c r="H6" s="4">
        <v>1250</v>
      </c>
      <c r="I6" s="4" t="s">
        <v>34</v>
      </c>
      <c r="N6" s="8"/>
      <c r="O6" s="8"/>
      <c r="P6" s="8"/>
    </row>
    <row r="7" spans="1:16" x14ac:dyDescent="0.2">
      <c r="A7" s="5">
        <v>44713</v>
      </c>
      <c r="B7" s="4" t="s">
        <v>1</v>
      </c>
      <c r="C7" s="4">
        <v>1600</v>
      </c>
      <c r="D7" s="4">
        <v>1800</v>
      </c>
      <c r="E7" s="4">
        <v>14</v>
      </c>
      <c r="F7" s="4">
        <v>1250</v>
      </c>
      <c r="G7" s="4">
        <v>2100</v>
      </c>
      <c r="H7" s="4">
        <v>1550</v>
      </c>
      <c r="I7" s="4" t="s">
        <v>37</v>
      </c>
    </row>
    <row r="8" spans="1:16" x14ac:dyDescent="0.2">
      <c r="A8" s="5">
        <v>44743</v>
      </c>
      <c r="B8" s="4" t="s">
        <v>1</v>
      </c>
      <c r="C8" s="4">
        <v>1900</v>
      </c>
      <c r="D8" s="4">
        <v>1850</v>
      </c>
      <c r="E8" s="4">
        <v>18</v>
      </c>
      <c r="F8" s="4">
        <v>1550</v>
      </c>
      <c r="G8" s="4">
        <v>1950</v>
      </c>
      <c r="H8" s="4">
        <v>1650</v>
      </c>
      <c r="I8" s="4" t="s">
        <v>39</v>
      </c>
    </row>
    <row r="9" spans="1:16" x14ac:dyDescent="0.2">
      <c r="A9" s="5">
        <v>44774</v>
      </c>
      <c r="B9" s="4" t="s">
        <v>1</v>
      </c>
      <c r="C9" s="4">
        <v>1500</v>
      </c>
      <c r="D9" s="4">
        <v>1400</v>
      </c>
      <c r="E9" s="4">
        <v>14</v>
      </c>
      <c r="F9" s="4">
        <v>1650</v>
      </c>
      <c r="G9" s="4">
        <v>1550</v>
      </c>
      <c r="H9" s="4">
        <v>1800</v>
      </c>
      <c r="I9" s="4" t="s">
        <v>51</v>
      </c>
    </row>
    <row r="10" spans="1:16" x14ac:dyDescent="0.2">
      <c r="A10" s="5">
        <v>44805</v>
      </c>
      <c r="B10" s="4" t="s">
        <v>1</v>
      </c>
      <c r="C10" s="4">
        <v>1450</v>
      </c>
      <c r="D10" s="4">
        <v>1400</v>
      </c>
      <c r="E10" s="4">
        <v>14</v>
      </c>
      <c r="F10" s="4">
        <v>1800</v>
      </c>
      <c r="G10" s="4">
        <v>1500</v>
      </c>
      <c r="H10" s="4">
        <v>1900</v>
      </c>
      <c r="I10" s="4" t="s">
        <v>14</v>
      </c>
    </row>
    <row r="11" spans="1:16" x14ac:dyDescent="0.2">
      <c r="A11" s="5">
        <v>44835</v>
      </c>
      <c r="B11" s="4" t="s">
        <v>1</v>
      </c>
      <c r="C11" s="4">
        <v>1800</v>
      </c>
      <c r="D11" s="4">
        <v>1950</v>
      </c>
      <c r="E11" s="4">
        <v>15</v>
      </c>
      <c r="F11" s="4">
        <v>1900</v>
      </c>
      <c r="G11" s="4">
        <v>1900</v>
      </c>
      <c r="H11" s="4">
        <v>1850</v>
      </c>
      <c r="I11" s="4" t="s">
        <v>54</v>
      </c>
    </row>
    <row r="12" spans="1:16" x14ac:dyDescent="0.2">
      <c r="A12" s="5">
        <v>44866</v>
      </c>
      <c r="B12" s="4" t="s">
        <v>1</v>
      </c>
      <c r="C12" s="4">
        <v>2800</v>
      </c>
      <c r="D12" s="4">
        <v>3100</v>
      </c>
      <c r="E12" s="4">
        <v>22</v>
      </c>
      <c r="F12" s="4">
        <v>1850</v>
      </c>
      <c r="G12" s="4">
        <v>3200</v>
      </c>
      <c r="H12" s="4">
        <v>1950</v>
      </c>
      <c r="I12" s="4" t="s">
        <v>15</v>
      </c>
    </row>
    <row r="13" spans="1:16" x14ac:dyDescent="0.2">
      <c r="A13" s="5">
        <v>44896</v>
      </c>
      <c r="B13" s="4" t="s">
        <v>1</v>
      </c>
      <c r="C13" s="4">
        <v>3500</v>
      </c>
      <c r="D13" s="4">
        <v>3400</v>
      </c>
      <c r="E13" s="4">
        <v>25</v>
      </c>
      <c r="F13" s="4">
        <v>1950</v>
      </c>
      <c r="G13" s="4">
        <v>3500</v>
      </c>
      <c r="H13" s="4">
        <v>2050</v>
      </c>
      <c r="I13" s="4" t="s">
        <v>16</v>
      </c>
    </row>
    <row r="14" spans="1:16" x14ac:dyDescent="0.2">
      <c r="A14" s="5">
        <v>44927</v>
      </c>
      <c r="B14" s="4" t="s">
        <v>1</v>
      </c>
      <c r="C14" s="4">
        <v>1300</v>
      </c>
      <c r="D14" s="4">
        <v>1200</v>
      </c>
      <c r="E14" s="4">
        <v>14</v>
      </c>
      <c r="F14" s="4">
        <v>2050</v>
      </c>
      <c r="G14" s="4">
        <v>1400</v>
      </c>
      <c r="H14" s="4">
        <v>2250</v>
      </c>
      <c r="I14" s="4" t="s">
        <v>28</v>
      </c>
    </row>
    <row r="15" spans="1:16" x14ac:dyDescent="0.2">
      <c r="A15" s="5">
        <v>44958</v>
      </c>
      <c r="B15" s="4" t="s">
        <v>1</v>
      </c>
      <c r="C15" s="4">
        <v>1200</v>
      </c>
      <c r="D15" s="4">
        <v>1100</v>
      </c>
      <c r="E15" s="4">
        <v>14</v>
      </c>
      <c r="F15" s="4">
        <v>2250</v>
      </c>
      <c r="G15" s="4">
        <v>1250</v>
      </c>
      <c r="H15" s="4">
        <v>2400</v>
      </c>
      <c r="I15" s="4" t="s">
        <v>31</v>
      </c>
    </row>
    <row r="16" spans="1:16" x14ac:dyDescent="0.2">
      <c r="A16" s="5">
        <v>44986</v>
      </c>
      <c r="B16" s="4" t="s">
        <v>1</v>
      </c>
      <c r="C16" s="4">
        <v>1450</v>
      </c>
      <c r="D16" s="4">
        <v>1300</v>
      </c>
      <c r="E16" s="4">
        <v>15</v>
      </c>
      <c r="F16" s="4">
        <v>2400</v>
      </c>
      <c r="G16" s="4">
        <v>1500</v>
      </c>
      <c r="H16" s="4">
        <v>2600</v>
      </c>
      <c r="I16" s="4" t="s">
        <v>32</v>
      </c>
    </row>
    <row r="17" spans="1:9" x14ac:dyDescent="0.2">
      <c r="A17" s="5">
        <v>45017</v>
      </c>
      <c r="B17" s="4" t="s">
        <v>1</v>
      </c>
      <c r="C17" s="4">
        <v>1350</v>
      </c>
      <c r="D17" s="4">
        <v>1450</v>
      </c>
      <c r="E17" s="4">
        <v>14</v>
      </c>
      <c r="F17" s="4">
        <v>2600</v>
      </c>
      <c r="G17" s="4">
        <v>1400</v>
      </c>
      <c r="H17" s="4">
        <v>2550</v>
      </c>
      <c r="I17" s="4" t="s">
        <v>18</v>
      </c>
    </row>
    <row r="18" spans="1:9" x14ac:dyDescent="0.2">
      <c r="A18" s="5">
        <v>45047</v>
      </c>
      <c r="B18" s="4" t="s">
        <v>1</v>
      </c>
      <c r="C18" s="4">
        <v>1500</v>
      </c>
      <c r="D18" s="4">
        <v>1800</v>
      </c>
      <c r="E18" s="4">
        <v>16</v>
      </c>
      <c r="F18" s="4">
        <v>2550</v>
      </c>
      <c r="G18" s="4">
        <v>1600</v>
      </c>
      <c r="H18" s="4">
        <v>2350</v>
      </c>
      <c r="I18" s="4" t="s">
        <v>36</v>
      </c>
    </row>
    <row r="19" spans="1:9" x14ac:dyDescent="0.2">
      <c r="A19" s="5">
        <v>45078</v>
      </c>
      <c r="B19" s="4" t="s">
        <v>1</v>
      </c>
      <c r="C19" s="4">
        <v>1700</v>
      </c>
      <c r="D19" s="4">
        <v>2000</v>
      </c>
      <c r="E19" s="4">
        <v>14</v>
      </c>
      <c r="F19" s="4">
        <v>2350</v>
      </c>
      <c r="G19" s="4">
        <v>2500</v>
      </c>
      <c r="H19" s="4">
        <v>2850</v>
      </c>
      <c r="I19" s="4" t="s">
        <v>37</v>
      </c>
    </row>
    <row r="20" spans="1:9" x14ac:dyDescent="0.2">
      <c r="A20" s="5">
        <v>45108</v>
      </c>
      <c r="B20" s="4" t="s">
        <v>1</v>
      </c>
      <c r="C20" s="4">
        <v>2000</v>
      </c>
      <c r="D20" s="4">
        <v>1900</v>
      </c>
      <c r="E20" s="4">
        <v>18</v>
      </c>
      <c r="F20" s="4">
        <v>2850</v>
      </c>
      <c r="G20" s="4">
        <v>2050</v>
      </c>
      <c r="H20" s="4">
        <v>3000</v>
      </c>
      <c r="I20" s="4" t="s">
        <v>31</v>
      </c>
    </row>
    <row r="21" spans="1:9" x14ac:dyDescent="0.2">
      <c r="A21" s="5">
        <v>45139</v>
      </c>
      <c r="B21" s="4" t="s">
        <v>1</v>
      </c>
      <c r="C21" s="4">
        <v>1600</v>
      </c>
      <c r="D21" s="4">
        <v>1500</v>
      </c>
      <c r="E21" s="4">
        <v>14</v>
      </c>
      <c r="F21" s="4">
        <v>3000</v>
      </c>
      <c r="G21" s="4">
        <v>1650</v>
      </c>
      <c r="H21" s="4">
        <v>3150</v>
      </c>
      <c r="I21" s="4" t="s">
        <v>20</v>
      </c>
    </row>
    <row r="22" spans="1:9" x14ac:dyDescent="0.2">
      <c r="A22" s="5">
        <v>45170</v>
      </c>
      <c r="B22" s="4" t="s">
        <v>1</v>
      </c>
      <c r="C22" s="4">
        <v>1550</v>
      </c>
      <c r="D22" s="4">
        <v>1500</v>
      </c>
      <c r="E22" s="4">
        <v>14</v>
      </c>
      <c r="F22" s="4">
        <v>3150</v>
      </c>
      <c r="G22" s="4">
        <v>1600</v>
      </c>
      <c r="H22" s="4">
        <v>3250</v>
      </c>
      <c r="I22" s="4" t="s">
        <v>21</v>
      </c>
    </row>
    <row r="23" spans="1:9" x14ac:dyDescent="0.2">
      <c r="A23" s="5">
        <v>45200</v>
      </c>
      <c r="B23" s="4" t="s">
        <v>1</v>
      </c>
      <c r="C23" s="4">
        <v>1900</v>
      </c>
      <c r="D23" s="4">
        <v>2400</v>
      </c>
      <c r="E23" s="4">
        <v>15</v>
      </c>
      <c r="F23" s="4">
        <v>3250</v>
      </c>
      <c r="G23" s="4">
        <v>2500</v>
      </c>
      <c r="H23" s="4">
        <v>3350</v>
      </c>
      <c r="I23" s="4" t="s">
        <v>42</v>
      </c>
    </row>
    <row r="24" spans="1:9" x14ac:dyDescent="0.2">
      <c r="A24" s="5">
        <v>45231</v>
      </c>
      <c r="B24" s="4" t="s">
        <v>1</v>
      </c>
      <c r="C24" s="4">
        <v>3000</v>
      </c>
      <c r="D24" s="4">
        <v>3800</v>
      </c>
      <c r="E24" s="4">
        <v>22</v>
      </c>
      <c r="F24" s="4">
        <v>3350</v>
      </c>
      <c r="G24" s="4">
        <v>4000</v>
      </c>
      <c r="H24" s="4">
        <v>3550</v>
      </c>
      <c r="I24" s="4" t="s">
        <v>43</v>
      </c>
    </row>
    <row r="25" spans="1:9" x14ac:dyDescent="0.2">
      <c r="A25" s="5">
        <v>45261</v>
      </c>
      <c r="B25" s="4" t="s">
        <v>1</v>
      </c>
      <c r="C25" s="4">
        <v>3700</v>
      </c>
      <c r="D25" s="4">
        <v>3900</v>
      </c>
      <c r="E25" s="4">
        <v>25</v>
      </c>
      <c r="F25" s="4">
        <v>3550</v>
      </c>
      <c r="G25" s="4">
        <v>3800</v>
      </c>
      <c r="H25" s="4">
        <v>3450</v>
      </c>
      <c r="I25" s="4" t="s">
        <v>25</v>
      </c>
    </row>
    <row r="26" spans="1:9" x14ac:dyDescent="0.2">
      <c r="A26" s="5">
        <v>44562</v>
      </c>
      <c r="B26" s="4" t="s">
        <v>58</v>
      </c>
      <c r="C26" s="4">
        <v>2000</v>
      </c>
      <c r="D26" s="4">
        <v>2100</v>
      </c>
      <c r="E26" s="4">
        <v>7</v>
      </c>
      <c r="F26" s="4">
        <v>1500</v>
      </c>
      <c r="G26" s="4">
        <v>2100</v>
      </c>
      <c r="H26" s="4">
        <v>1500</v>
      </c>
      <c r="I26" s="4" t="s">
        <v>45</v>
      </c>
    </row>
    <row r="27" spans="1:9" x14ac:dyDescent="0.2">
      <c r="A27" s="5">
        <v>44593</v>
      </c>
      <c r="B27" s="4" t="s">
        <v>58</v>
      </c>
      <c r="C27" s="4">
        <v>2100</v>
      </c>
      <c r="D27" s="4">
        <v>2050</v>
      </c>
      <c r="E27" s="4">
        <v>7</v>
      </c>
      <c r="F27" s="4">
        <v>1500</v>
      </c>
      <c r="G27" s="4">
        <v>2150</v>
      </c>
      <c r="H27" s="4">
        <v>1600</v>
      </c>
      <c r="I27" s="4" t="s">
        <v>9</v>
      </c>
    </row>
    <row r="28" spans="1:9" x14ac:dyDescent="0.2">
      <c r="A28" s="5">
        <v>44621</v>
      </c>
      <c r="B28" s="4" t="s">
        <v>58</v>
      </c>
      <c r="C28" s="4">
        <v>1950</v>
      </c>
      <c r="D28" s="4">
        <v>2200</v>
      </c>
      <c r="E28" s="4">
        <v>8</v>
      </c>
      <c r="F28" s="4">
        <v>1600</v>
      </c>
      <c r="G28" s="4">
        <v>2000</v>
      </c>
      <c r="H28" s="4">
        <v>1400</v>
      </c>
      <c r="I28" s="4" t="s">
        <v>46</v>
      </c>
    </row>
    <row r="29" spans="1:9" x14ac:dyDescent="0.2">
      <c r="A29" s="5">
        <v>44652</v>
      </c>
      <c r="B29" s="4" t="s">
        <v>58</v>
      </c>
      <c r="C29" s="4">
        <v>2050</v>
      </c>
      <c r="D29" s="4">
        <v>2100</v>
      </c>
      <c r="E29" s="4">
        <v>7</v>
      </c>
      <c r="F29" s="4">
        <v>1400</v>
      </c>
      <c r="G29" s="4">
        <v>2100</v>
      </c>
      <c r="H29" s="4">
        <v>1400</v>
      </c>
      <c r="I29" s="4" t="s">
        <v>45</v>
      </c>
    </row>
    <row r="30" spans="1:9" x14ac:dyDescent="0.2">
      <c r="A30" s="5">
        <v>44682</v>
      </c>
      <c r="B30" s="4" t="s">
        <v>58</v>
      </c>
      <c r="C30" s="4">
        <v>2000</v>
      </c>
      <c r="D30" s="4">
        <v>2000</v>
      </c>
      <c r="E30" s="4">
        <v>7</v>
      </c>
      <c r="F30" s="4">
        <v>1400</v>
      </c>
      <c r="G30" s="4">
        <v>2050</v>
      </c>
      <c r="H30" s="4">
        <v>1450</v>
      </c>
      <c r="I30" s="4" t="s">
        <v>31</v>
      </c>
    </row>
    <row r="31" spans="1:9" x14ac:dyDescent="0.2">
      <c r="A31" s="5">
        <v>44713</v>
      </c>
      <c r="B31" s="4" t="s">
        <v>58</v>
      </c>
      <c r="C31" s="4">
        <v>500</v>
      </c>
      <c r="D31" s="4">
        <v>1200</v>
      </c>
      <c r="E31" s="4">
        <v>25</v>
      </c>
      <c r="F31" s="4">
        <v>1450</v>
      </c>
      <c r="G31" s="4">
        <v>600</v>
      </c>
      <c r="H31" s="4">
        <v>850</v>
      </c>
      <c r="I31" s="4" t="s">
        <v>49</v>
      </c>
    </row>
    <row r="32" spans="1:9" x14ac:dyDescent="0.2">
      <c r="A32" s="5">
        <v>44743</v>
      </c>
      <c r="B32" s="4" t="s">
        <v>58</v>
      </c>
      <c r="C32" s="4">
        <v>2050</v>
      </c>
      <c r="D32" s="4">
        <v>2100</v>
      </c>
      <c r="E32" s="4">
        <v>7</v>
      </c>
      <c r="F32" s="4">
        <v>850</v>
      </c>
      <c r="G32" s="4">
        <v>2300</v>
      </c>
      <c r="H32" s="4">
        <v>1050</v>
      </c>
      <c r="I32" s="4" t="s">
        <v>50</v>
      </c>
    </row>
    <row r="33" spans="1:9" x14ac:dyDescent="0.2">
      <c r="A33" s="5">
        <v>44774</v>
      </c>
      <c r="B33" s="4" t="s">
        <v>58</v>
      </c>
      <c r="C33" s="4">
        <v>2100</v>
      </c>
      <c r="D33" s="4">
        <v>2150</v>
      </c>
      <c r="E33" s="4">
        <v>7</v>
      </c>
      <c r="F33" s="4">
        <v>1050</v>
      </c>
      <c r="G33" s="4">
        <v>2150</v>
      </c>
      <c r="H33" s="4">
        <v>1050</v>
      </c>
      <c r="I33" s="4" t="s">
        <v>52</v>
      </c>
    </row>
    <row r="34" spans="1:9" x14ac:dyDescent="0.2">
      <c r="A34" s="5">
        <v>44805</v>
      </c>
      <c r="B34" s="4" t="s">
        <v>58</v>
      </c>
      <c r="C34" s="4">
        <v>1980</v>
      </c>
      <c r="D34" s="4">
        <v>1900</v>
      </c>
      <c r="E34" s="4">
        <v>7</v>
      </c>
      <c r="F34" s="4">
        <v>1050</v>
      </c>
      <c r="G34" s="4">
        <v>2000</v>
      </c>
      <c r="H34" s="4">
        <v>1150</v>
      </c>
      <c r="I34" s="4" t="s">
        <v>14</v>
      </c>
    </row>
    <row r="35" spans="1:9" x14ac:dyDescent="0.2">
      <c r="A35" s="5">
        <v>44835</v>
      </c>
      <c r="B35" s="4" t="s">
        <v>58</v>
      </c>
      <c r="C35" s="4">
        <v>2020</v>
      </c>
      <c r="D35" s="4">
        <v>2050</v>
      </c>
      <c r="E35" s="4">
        <v>7</v>
      </c>
      <c r="F35" s="4">
        <v>1150</v>
      </c>
      <c r="G35" s="4">
        <v>2050</v>
      </c>
      <c r="H35" s="4">
        <v>1150</v>
      </c>
      <c r="I35" s="4" t="s">
        <v>55</v>
      </c>
    </row>
    <row r="36" spans="1:9" x14ac:dyDescent="0.2">
      <c r="A36" s="5">
        <v>44866</v>
      </c>
      <c r="B36" s="4" t="s">
        <v>58</v>
      </c>
      <c r="C36" s="4">
        <v>2050</v>
      </c>
      <c r="D36" s="4">
        <v>2100</v>
      </c>
      <c r="E36" s="4">
        <v>7</v>
      </c>
      <c r="F36" s="4">
        <v>1150</v>
      </c>
      <c r="G36" s="4">
        <v>2100</v>
      </c>
      <c r="H36" s="4">
        <v>1150</v>
      </c>
      <c r="I36" s="4" t="s">
        <v>12</v>
      </c>
    </row>
    <row r="37" spans="1:9" x14ac:dyDescent="0.2">
      <c r="A37" s="5">
        <v>44896</v>
      </c>
      <c r="B37" s="4" t="s">
        <v>58</v>
      </c>
      <c r="C37" s="4">
        <v>2100</v>
      </c>
      <c r="D37" s="4">
        <v>2150</v>
      </c>
      <c r="E37" s="4">
        <v>7</v>
      </c>
      <c r="F37" s="4">
        <v>1150</v>
      </c>
      <c r="G37" s="4">
        <v>2150</v>
      </c>
      <c r="H37" s="4">
        <v>1150</v>
      </c>
      <c r="I37" s="4" t="s">
        <v>44</v>
      </c>
    </row>
    <row r="38" spans="1:9" x14ac:dyDescent="0.2">
      <c r="A38" s="5">
        <v>44927</v>
      </c>
      <c r="B38" s="4" t="s">
        <v>58</v>
      </c>
      <c r="C38" s="4">
        <v>2000</v>
      </c>
      <c r="D38" s="4">
        <v>2100</v>
      </c>
      <c r="E38" s="4">
        <v>7</v>
      </c>
      <c r="F38" s="4">
        <v>1150</v>
      </c>
      <c r="G38" s="4">
        <v>2100</v>
      </c>
      <c r="H38" s="4">
        <v>1150</v>
      </c>
      <c r="I38" s="4" t="s">
        <v>29</v>
      </c>
    </row>
    <row r="39" spans="1:9" x14ac:dyDescent="0.2">
      <c r="A39" s="5">
        <v>44958</v>
      </c>
      <c r="B39" s="4" t="s">
        <v>58</v>
      </c>
      <c r="C39" s="4">
        <v>2150</v>
      </c>
      <c r="D39" s="4">
        <v>2200</v>
      </c>
      <c r="E39" s="4">
        <v>7</v>
      </c>
      <c r="F39" s="4">
        <v>1150</v>
      </c>
      <c r="G39" s="4">
        <v>2200</v>
      </c>
      <c r="H39" s="4">
        <v>1150</v>
      </c>
      <c r="I39" s="4" t="s">
        <v>17</v>
      </c>
    </row>
    <row r="40" spans="1:9" x14ac:dyDescent="0.2">
      <c r="A40" s="5">
        <v>44986</v>
      </c>
      <c r="B40" s="4" t="s">
        <v>58</v>
      </c>
      <c r="C40" s="4">
        <v>2000</v>
      </c>
      <c r="D40" s="4">
        <v>2500</v>
      </c>
      <c r="E40" s="4">
        <v>8</v>
      </c>
      <c r="F40" s="4">
        <v>1150</v>
      </c>
      <c r="G40" s="4">
        <v>2400</v>
      </c>
      <c r="H40" s="4">
        <v>1050</v>
      </c>
      <c r="I40" s="4" t="s">
        <v>33</v>
      </c>
    </row>
    <row r="41" spans="1:9" x14ac:dyDescent="0.2">
      <c r="A41" s="5">
        <v>45017</v>
      </c>
      <c r="B41" s="4" t="s">
        <v>58</v>
      </c>
      <c r="C41" s="4">
        <v>2100</v>
      </c>
      <c r="D41" s="4">
        <v>2450</v>
      </c>
      <c r="E41" s="4">
        <v>7</v>
      </c>
      <c r="F41" s="4">
        <v>1050</v>
      </c>
      <c r="G41" s="4">
        <v>2500</v>
      </c>
      <c r="H41" s="4">
        <v>1100</v>
      </c>
      <c r="I41" s="4" t="s">
        <v>34</v>
      </c>
    </row>
    <row r="42" spans="1:9" x14ac:dyDescent="0.2">
      <c r="A42" s="5">
        <v>45047</v>
      </c>
      <c r="B42" s="4" t="s">
        <v>58</v>
      </c>
      <c r="C42" s="4">
        <v>2050</v>
      </c>
      <c r="D42" s="4">
        <v>2300</v>
      </c>
      <c r="E42" s="4">
        <v>7</v>
      </c>
      <c r="F42" s="4">
        <v>1100</v>
      </c>
      <c r="G42" s="4">
        <v>2400</v>
      </c>
      <c r="H42" s="4">
        <v>1200</v>
      </c>
      <c r="I42" s="4" t="s">
        <v>34</v>
      </c>
    </row>
    <row r="43" spans="1:9" x14ac:dyDescent="0.2">
      <c r="A43" s="5">
        <v>45078</v>
      </c>
      <c r="B43" s="4" t="s">
        <v>58</v>
      </c>
      <c r="C43" s="4">
        <v>550</v>
      </c>
      <c r="D43" s="4">
        <v>1200</v>
      </c>
      <c r="E43" s="4">
        <v>25</v>
      </c>
      <c r="F43" s="4">
        <v>1200</v>
      </c>
      <c r="G43" s="4">
        <v>1500</v>
      </c>
      <c r="H43" s="4">
        <v>1500</v>
      </c>
      <c r="I43" s="4" t="s">
        <v>38</v>
      </c>
    </row>
    <row r="44" spans="1:9" x14ac:dyDescent="0.2">
      <c r="A44" s="5">
        <v>45108</v>
      </c>
      <c r="B44" s="4" t="s">
        <v>58</v>
      </c>
      <c r="C44" s="4">
        <v>2100</v>
      </c>
      <c r="D44" s="4">
        <v>2400</v>
      </c>
      <c r="E44" s="4">
        <v>7</v>
      </c>
      <c r="F44" s="4">
        <v>1500</v>
      </c>
      <c r="G44" s="4">
        <v>2500</v>
      </c>
      <c r="H44" s="4">
        <v>1600</v>
      </c>
      <c r="I44" s="4" t="s">
        <v>39</v>
      </c>
    </row>
    <row r="45" spans="1:9" x14ac:dyDescent="0.2">
      <c r="A45" s="5">
        <v>45139</v>
      </c>
      <c r="B45" s="4" t="s">
        <v>58</v>
      </c>
      <c r="C45" s="4">
        <v>2150</v>
      </c>
      <c r="D45" s="4">
        <v>2600</v>
      </c>
      <c r="E45" s="4">
        <v>7</v>
      </c>
      <c r="F45" s="4">
        <v>1600</v>
      </c>
      <c r="G45" s="4">
        <v>2200</v>
      </c>
      <c r="H45" s="4">
        <v>1200</v>
      </c>
      <c r="I45" s="4" t="s">
        <v>40</v>
      </c>
    </row>
    <row r="46" spans="1:9" x14ac:dyDescent="0.2">
      <c r="A46" s="5">
        <v>45170</v>
      </c>
      <c r="B46" s="4" t="s">
        <v>58</v>
      </c>
      <c r="C46" s="4">
        <v>2000</v>
      </c>
      <c r="D46" s="4">
        <v>2350</v>
      </c>
      <c r="E46" s="4">
        <v>7</v>
      </c>
      <c r="F46" s="4">
        <v>1200</v>
      </c>
      <c r="G46" s="4">
        <v>2400</v>
      </c>
      <c r="H46" s="4">
        <v>1250</v>
      </c>
      <c r="I46" s="4" t="s">
        <v>9</v>
      </c>
    </row>
    <row r="47" spans="1:9" x14ac:dyDescent="0.2">
      <c r="A47" s="5">
        <v>45200</v>
      </c>
      <c r="B47" s="4" t="s">
        <v>58</v>
      </c>
      <c r="C47" s="4">
        <v>2050</v>
      </c>
      <c r="D47" s="4">
        <v>2500</v>
      </c>
      <c r="E47" s="4">
        <v>7</v>
      </c>
      <c r="F47" s="4">
        <v>1250</v>
      </c>
      <c r="G47" s="4">
        <v>2600</v>
      </c>
      <c r="H47" s="4">
        <v>1350</v>
      </c>
      <c r="I47" s="4" t="s">
        <v>34</v>
      </c>
    </row>
    <row r="48" spans="1:9" x14ac:dyDescent="0.2">
      <c r="A48" s="5">
        <v>45231</v>
      </c>
      <c r="B48" s="4" t="s">
        <v>58</v>
      </c>
      <c r="C48" s="4">
        <v>2100</v>
      </c>
      <c r="D48" s="4">
        <v>2700</v>
      </c>
      <c r="E48" s="4">
        <v>7</v>
      </c>
      <c r="F48" s="4">
        <v>1350</v>
      </c>
      <c r="G48" s="4">
        <v>2800</v>
      </c>
      <c r="H48" s="4">
        <v>1450</v>
      </c>
      <c r="I48" s="4" t="s">
        <v>23</v>
      </c>
    </row>
    <row r="49" spans="1:9" x14ac:dyDescent="0.2">
      <c r="A49" s="5">
        <v>45261</v>
      </c>
      <c r="B49" s="4" t="s">
        <v>58</v>
      </c>
      <c r="C49" s="4">
        <v>2150</v>
      </c>
      <c r="D49" s="4">
        <v>2900</v>
      </c>
      <c r="E49" s="4">
        <v>7</v>
      </c>
      <c r="F49" s="4">
        <v>1450</v>
      </c>
      <c r="G49" s="4">
        <v>2900</v>
      </c>
      <c r="H49" s="4">
        <v>1450</v>
      </c>
      <c r="I49" s="4" t="s">
        <v>44</v>
      </c>
    </row>
    <row r="50" spans="1:9" x14ac:dyDescent="0.2">
      <c r="A50" s="5">
        <v>44562</v>
      </c>
      <c r="B50" s="4" t="s">
        <v>57</v>
      </c>
      <c r="C50" s="4">
        <v>500</v>
      </c>
      <c r="D50" s="4">
        <v>450</v>
      </c>
      <c r="E50" s="4">
        <v>30</v>
      </c>
      <c r="F50" s="4">
        <v>800</v>
      </c>
      <c r="G50" s="4">
        <v>550</v>
      </c>
      <c r="H50" s="4">
        <v>900</v>
      </c>
      <c r="I50" s="4" t="s">
        <v>2</v>
      </c>
    </row>
    <row r="51" spans="1:9" x14ac:dyDescent="0.2">
      <c r="A51" s="5">
        <v>44593</v>
      </c>
      <c r="B51" s="4" t="s">
        <v>57</v>
      </c>
      <c r="C51" s="4">
        <v>520</v>
      </c>
      <c r="D51" s="4">
        <v>500</v>
      </c>
      <c r="E51" s="4">
        <v>30</v>
      </c>
      <c r="F51" s="4">
        <v>900</v>
      </c>
      <c r="G51" s="4">
        <v>550</v>
      </c>
      <c r="H51" s="4">
        <v>950</v>
      </c>
      <c r="I51" s="4" t="s">
        <v>9</v>
      </c>
    </row>
    <row r="52" spans="1:9" x14ac:dyDescent="0.2">
      <c r="A52" s="5">
        <v>44621</v>
      </c>
      <c r="B52" s="4" t="s">
        <v>57</v>
      </c>
      <c r="C52" s="4">
        <v>510</v>
      </c>
      <c r="D52" s="4">
        <v>550</v>
      </c>
      <c r="E52" s="4">
        <v>30</v>
      </c>
      <c r="F52" s="4">
        <v>950</v>
      </c>
      <c r="G52" s="4">
        <v>550</v>
      </c>
      <c r="H52" s="4">
        <v>950</v>
      </c>
      <c r="I52" s="4" t="s">
        <v>31</v>
      </c>
    </row>
    <row r="53" spans="1:9" x14ac:dyDescent="0.2">
      <c r="A53" s="5">
        <v>44652</v>
      </c>
      <c r="B53" s="4" t="s">
        <v>57</v>
      </c>
      <c r="C53" s="4">
        <v>900</v>
      </c>
      <c r="D53" s="4">
        <v>850</v>
      </c>
      <c r="E53" s="4">
        <v>30</v>
      </c>
      <c r="F53" s="4">
        <v>950</v>
      </c>
      <c r="G53" s="4">
        <v>950</v>
      </c>
      <c r="H53" s="4">
        <v>1050</v>
      </c>
      <c r="I53" s="4" t="s">
        <v>10</v>
      </c>
    </row>
    <row r="54" spans="1:9" x14ac:dyDescent="0.2">
      <c r="A54" s="5">
        <v>44682</v>
      </c>
      <c r="B54" s="4" t="s">
        <v>57</v>
      </c>
      <c r="C54" s="4">
        <v>530</v>
      </c>
      <c r="D54" s="4">
        <v>600</v>
      </c>
      <c r="E54" s="4">
        <v>30</v>
      </c>
      <c r="F54" s="4">
        <v>1050</v>
      </c>
      <c r="G54" s="4">
        <v>550</v>
      </c>
      <c r="H54" s="4">
        <v>1000</v>
      </c>
      <c r="I54" s="4" t="s">
        <v>48</v>
      </c>
    </row>
    <row r="55" spans="1:9" x14ac:dyDescent="0.2">
      <c r="A55" s="5">
        <v>44713</v>
      </c>
      <c r="B55" s="4" t="s">
        <v>57</v>
      </c>
      <c r="C55" s="4">
        <v>540</v>
      </c>
      <c r="D55" s="4">
        <v>550</v>
      </c>
      <c r="E55" s="4">
        <v>30</v>
      </c>
      <c r="F55" s="4">
        <v>1000</v>
      </c>
      <c r="G55" s="4">
        <v>550</v>
      </c>
      <c r="H55" s="4">
        <v>1000</v>
      </c>
      <c r="I55" s="4" t="s">
        <v>11</v>
      </c>
    </row>
    <row r="56" spans="1:9" x14ac:dyDescent="0.2">
      <c r="A56" s="5">
        <v>44743</v>
      </c>
      <c r="B56" s="4" t="s">
        <v>57</v>
      </c>
      <c r="C56" s="4">
        <v>550</v>
      </c>
      <c r="D56" s="4">
        <v>600</v>
      </c>
      <c r="E56" s="4">
        <v>30</v>
      </c>
      <c r="F56" s="4">
        <v>1000</v>
      </c>
      <c r="G56" s="4">
        <v>600</v>
      </c>
      <c r="H56" s="4">
        <v>1000</v>
      </c>
      <c r="I56" s="4" t="s">
        <v>12</v>
      </c>
    </row>
    <row r="57" spans="1:9" x14ac:dyDescent="0.2">
      <c r="A57" s="5">
        <v>44774</v>
      </c>
      <c r="B57" s="4" t="s">
        <v>57</v>
      </c>
      <c r="C57" s="4">
        <v>900</v>
      </c>
      <c r="D57" s="4">
        <v>850</v>
      </c>
      <c r="E57" s="4">
        <v>30</v>
      </c>
      <c r="F57" s="4">
        <v>1000</v>
      </c>
      <c r="G57" s="4">
        <v>900</v>
      </c>
      <c r="H57" s="4">
        <v>1050</v>
      </c>
      <c r="I57" s="4" t="s">
        <v>13</v>
      </c>
    </row>
    <row r="58" spans="1:9" x14ac:dyDescent="0.2">
      <c r="A58" s="5">
        <v>44805</v>
      </c>
      <c r="B58" s="4" t="s">
        <v>57</v>
      </c>
      <c r="C58" s="4">
        <v>540</v>
      </c>
      <c r="D58" s="4">
        <v>500</v>
      </c>
      <c r="E58" s="4">
        <v>30</v>
      </c>
      <c r="F58" s="4">
        <v>1050</v>
      </c>
      <c r="G58" s="4">
        <v>500</v>
      </c>
      <c r="H58" s="4">
        <v>1050</v>
      </c>
      <c r="I58" s="4" t="s">
        <v>53</v>
      </c>
    </row>
    <row r="59" spans="1:9" x14ac:dyDescent="0.2">
      <c r="A59" s="5">
        <v>44835</v>
      </c>
      <c r="B59" s="4" t="s">
        <v>57</v>
      </c>
      <c r="C59" s="4">
        <v>950</v>
      </c>
      <c r="D59" s="4">
        <v>1000</v>
      </c>
      <c r="E59" s="4">
        <v>30</v>
      </c>
      <c r="F59" s="4">
        <v>1050</v>
      </c>
      <c r="G59" s="4">
        <v>1000</v>
      </c>
      <c r="H59" s="4">
        <v>1050</v>
      </c>
      <c r="I59" s="4" t="s">
        <v>56</v>
      </c>
    </row>
    <row r="60" spans="1:9" x14ac:dyDescent="0.2">
      <c r="A60" s="5">
        <v>44866</v>
      </c>
      <c r="B60" s="4" t="s">
        <v>57</v>
      </c>
      <c r="C60" s="4">
        <v>580</v>
      </c>
      <c r="D60" s="4">
        <v>600</v>
      </c>
      <c r="E60" s="4">
        <v>30</v>
      </c>
      <c r="F60" s="4">
        <v>1050</v>
      </c>
      <c r="G60" s="4">
        <v>600</v>
      </c>
      <c r="H60" s="4">
        <v>1050</v>
      </c>
      <c r="I60" s="4" t="s">
        <v>12</v>
      </c>
    </row>
    <row r="61" spans="1:9" x14ac:dyDescent="0.2">
      <c r="A61" s="5">
        <v>44896</v>
      </c>
      <c r="B61" s="4" t="s">
        <v>57</v>
      </c>
      <c r="C61" s="4">
        <v>590</v>
      </c>
      <c r="D61" s="4">
        <v>650</v>
      </c>
      <c r="E61" s="4">
        <v>30</v>
      </c>
      <c r="F61" s="4">
        <v>1050</v>
      </c>
      <c r="G61" s="4">
        <v>650</v>
      </c>
      <c r="H61" s="4">
        <v>1050</v>
      </c>
      <c r="I61" s="4" t="s">
        <v>12</v>
      </c>
    </row>
    <row r="62" spans="1:9" x14ac:dyDescent="0.2">
      <c r="A62" s="5">
        <v>44927</v>
      </c>
      <c r="B62" s="4" t="s">
        <v>57</v>
      </c>
      <c r="C62" s="4">
        <v>520</v>
      </c>
      <c r="D62" s="4">
        <v>580</v>
      </c>
      <c r="E62" s="4">
        <v>30</v>
      </c>
      <c r="F62" s="4">
        <v>1050</v>
      </c>
      <c r="G62" s="4">
        <v>550</v>
      </c>
      <c r="H62" s="4">
        <v>1020</v>
      </c>
      <c r="I62" s="4" t="s">
        <v>30</v>
      </c>
    </row>
    <row r="63" spans="1:9" x14ac:dyDescent="0.2">
      <c r="A63" s="5">
        <v>44958</v>
      </c>
      <c r="B63" s="4" t="s">
        <v>57</v>
      </c>
      <c r="C63" s="4">
        <v>540</v>
      </c>
      <c r="D63" s="4">
        <v>620</v>
      </c>
      <c r="E63" s="4">
        <v>30</v>
      </c>
      <c r="F63" s="4">
        <v>1020</v>
      </c>
      <c r="G63" s="4">
        <v>550</v>
      </c>
      <c r="H63" s="4">
        <v>950</v>
      </c>
      <c r="I63" s="4" t="s">
        <v>9</v>
      </c>
    </row>
    <row r="64" spans="1:9" x14ac:dyDescent="0.2">
      <c r="A64" s="5">
        <v>44986</v>
      </c>
      <c r="B64" s="4" t="s">
        <v>57</v>
      </c>
      <c r="C64" s="4">
        <v>530</v>
      </c>
      <c r="D64" s="4">
        <v>600</v>
      </c>
      <c r="E64" s="4">
        <v>30</v>
      </c>
      <c r="F64" s="4">
        <v>950</v>
      </c>
      <c r="G64" s="4">
        <v>550</v>
      </c>
      <c r="H64" s="4">
        <v>900</v>
      </c>
      <c r="I64" s="4" t="s">
        <v>31</v>
      </c>
    </row>
    <row r="65" spans="1:9" x14ac:dyDescent="0.2">
      <c r="A65" s="5">
        <v>45017</v>
      </c>
      <c r="B65" s="4" t="s">
        <v>57</v>
      </c>
      <c r="C65" s="4">
        <v>920</v>
      </c>
      <c r="D65" s="4">
        <v>1200</v>
      </c>
      <c r="E65" s="4">
        <v>30</v>
      </c>
      <c r="F65" s="4">
        <v>900</v>
      </c>
      <c r="G65" s="4">
        <v>1200</v>
      </c>
      <c r="H65" s="4">
        <v>900</v>
      </c>
      <c r="I65" s="4" t="s">
        <v>35</v>
      </c>
    </row>
    <row r="66" spans="1:9" x14ac:dyDescent="0.2">
      <c r="A66" s="5">
        <v>45047</v>
      </c>
      <c r="B66" s="4" t="s">
        <v>57</v>
      </c>
      <c r="C66" s="4">
        <v>550</v>
      </c>
      <c r="D66" s="4">
        <v>750</v>
      </c>
      <c r="E66" s="4">
        <v>30</v>
      </c>
      <c r="F66" s="4">
        <v>900</v>
      </c>
      <c r="G66" s="4">
        <v>700</v>
      </c>
      <c r="H66" s="4">
        <v>850</v>
      </c>
      <c r="I66" s="4" t="s">
        <v>19</v>
      </c>
    </row>
    <row r="67" spans="1:9" x14ac:dyDescent="0.2">
      <c r="A67" s="5">
        <v>45078</v>
      </c>
      <c r="B67" s="4" t="s">
        <v>57</v>
      </c>
      <c r="C67" s="4">
        <v>560</v>
      </c>
      <c r="D67" s="4">
        <v>650</v>
      </c>
      <c r="E67" s="4">
        <v>30</v>
      </c>
      <c r="F67" s="4">
        <v>850</v>
      </c>
      <c r="G67" s="4">
        <v>700</v>
      </c>
      <c r="H67" s="4">
        <v>900</v>
      </c>
      <c r="I67" s="4" t="s">
        <v>9</v>
      </c>
    </row>
    <row r="68" spans="1:9" x14ac:dyDescent="0.2">
      <c r="A68" s="5">
        <v>45108</v>
      </c>
      <c r="B68" s="4" t="s">
        <v>57</v>
      </c>
      <c r="C68" s="4">
        <v>570</v>
      </c>
      <c r="D68" s="4">
        <v>800</v>
      </c>
      <c r="E68" s="4">
        <v>30</v>
      </c>
      <c r="F68" s="4">
        <v>900</v>
      </c>
      <c r="G68" s="4">
        <v>800</v>
      </c>
      <c r="H68" s="4">
        <v>900</v>
      </c>
      <c r="I68" s="4" t="s">
        <v>12</v>
      </c>
    </row>
    <row r="69" spans="1:9" x14ac:dyDescent="0.2">
      <c r="A69" s="5">
        <v>45139</v>
      </c>
      <c r="B69" s="4" t="s">
        <v>57</v>
      </c>
      <c r="C69" s="4">
        <v>580</v>
      </c>
      <c r="D69" s="4">
        <v>1500</v>
      </c>
      <c r="E69" s="4">
        <v>30</v>
      </c>
      <c r="F69" s="4">
        <v>900</v>
      </c>
      <c r="G69" s="4">
        <v>1500</v>
      </c>
      <c r="H69" s="4">
        <v>900</v>
      </c>
      <c r="I69" s="4" t="s">
        <v>41</v>
      </c>
    </row>
    <row r="70" spans="1:9" x14ac:dyDescent="0.2">
      <c r="A70" s="5">
        <v>45170</v>
      </c>
      <c r="B70" s="4" t="s">
        <v>57</v>
      </c>
      <c r="C70" s="4">
        <v>560</v>
      </c>
      <c r="D70" s="4">
        <v>700</v>
      </c>
      <c r="E70" s="4">
        <v>30</v>
      </c>
      <c r="F70" s="4">
        <v>900</v>
      </c>
      <c r="G70" s="4">
        <v>700</v>
      </c>
      <c r="H70" s="4">
        <v>900</v>
      </c>
      <c r="I70" s="4" t="s">
        <v>9</v>
      </c>
    </row>
    <row r="71" spans="1:9" x14ac:dyDescent="0.2">
      <c r="A71" s="5">
        <v>45200</v>
      </c>
      <c r="B71" s="4" t="s">
        <v>57</v>
      </c>
      <c r="C71" s="4">
        <v>980</v>
      </c>
      <c r="D71" s="4">
        <v>1300</v>
      </c>
      <c r="E71" s="4">
        <v>30</v>
      </c>
      <c r="F71" s="4">
        <v>900</v>
      </c>
      <c r="G71" s="4">
        <v>1300</v>
      </c>
      <c r="H71" s="4">
        <v>900</v>
      </c>
      <c r="I71" s="4" t="s">
        <v>22</v>
      </c>
    </row>
    <row r="72" spans="1:9" x14ac:dyDescent="0.2">
      <c r="A72" s="5">
        <v>45231</v>
      </c>
      <c r="B72" s="4" t="s">
        <v>57</v>
      </c>
      <c r="C72" s="4">
        <v>600</v>
      </c>
      <c r="D72" s="4">
        <v>850</v>
      </c>
      <c r="E72" s="4">
        <v>30</v>
      </c>
      <c r="F72" s="4">
        <v>900</v>
      </c>
      <c r="G72" s="4">
        <v>850</v>
      </c>
      <c r="H72" s="4">
        <v>900</v>
      </c>
      <c r="I72" s="4" t="s">
        <v>24</v>
      </c>
    </row>
    <row r="73" spans="1:9" x14ac:dyDescent="0.2">
      <c r="A73" s="5">
        <v>45261</v>
      </c>
      <c r="B73" s="4" t="s">
        <v>57</v>
      </c>
      <c r="C73" s="4">
        <v>610</v>
      </c>
      <c r="D73" s="4">
        <v>900</v>
      </c>
      <c r="E73" s="4">
        <v>30</v>
      </c>
      <c r="F73" s="4">
        <v>900</v>
      </c>
      <c r="G73" s="4">
        <v>900</v>
      </c>
      <c r="H73" s="4">
        <v>900</v>
      </c>
      <c r="I73" s="4" t="s">
        <v>44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2A713A-A470-324D-B850-0991671D8F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forecast_model_validation</vt:lpstr>
      <vt:lpstr>inventory</vt:lpstr>
      <vt:lpstr>stress_test</vt:lpstr>
      <vt:lpstr>forecast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ethanzh0@student.ubc.ca</dc:creator>
  <cp:lastModifiedBy>ethanzh0@student.ubc.ca</cp:lastModifiedBy>
  <dcterms:created xsi:type="dcterms:W3CDTF">2026-01-16T13:53:34Z</dcterms:created>
  <dcterms:modified xsi:type="dcterms:W3CDTF">2026-02-04T06:43:18Z</dcterms:modified>
</cp:coreProperties>
</file>