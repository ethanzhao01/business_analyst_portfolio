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zhao/Desktop/"/>
    </mc:Choice>
  </mc:AlternateContent>
  <xr:revisionPtr revIDLastSave="0" documentId="13_ncr:1_{7A25B8A1-6D8C-5B4B-A4AF-CEA44F0D1E27}" xr6:coauthVersionLast="47" xr6:coauthVersionMax="47" xr10:uidLastSave="{00000000-0000-0000-0000-000000000000}"/>
  <bookViews>
    <workbookView xWindow="0" yWindow="500" windowWidth="33600" windowHeight="18880" activeTab="1" xr2:uid="{00000000-000D-0000-FFFF-FFFF00000000}"/>
  </bookViews>
  <sheets>
    <sheet name="dashboard" sheetId="12" r:id="rId1"/>
    <sheet name="weighted_score" sheetId="8" r:id="rId2"/>
    <sheet name="kraljic" sheetId="11" r:id="rId3"/>
    <sheet name="supplier_exposure_analysis" sheetId="2" r:id="rId4"/>
    <sheet name="aggregation_pivot (reference)" sheetId="4" r:id="rId5"/>
    <sheet name="sorcing" sheetId="5" r:id="rId6"/>
    <sheet name="data" sheetId="3" r:id="rId7"/>
  </sheets>
  <definedNames>
    <definedName name="_xlnm._FilterDatabase" localSheetId="2" hidden="1">kraljic!$A$1:$J$37</definedName>
    <definedName name="_xlnm._FilterDatabase" localSheetId="1" hidden="1">weighted_score!$A$1:$M$37</definedName>
    <definedName name="_xlchart.v2.0" hidden="1">supplier_exposure_analysis!$B$19:$F$19</definedName>
    <definedName name="_xlchart.v2.1" hidden="1">supplier_exposure_analysis!$B$2:$F$2</definedName>
    <definedName name="_xlchart.v2.10" hidden="1">supplier_exposure_analysis!$D$19:$F$19</definedName>
    <definedName name="_xlchart.v2.11" hidden="1">supplier_exposure_analysis!$D$2:$F$2</definedName>
    <definedName name="_xlchart.v2.12" hidden="1">supplier_exposure_analysis!#REF!</definedName>
    <definedName name="_xlchart.v2.13" hidden="1">supplier_exposure_analysis!#REF!</definedName>
    <definedName name="_xlchart.v2.14" hidden="1">supplier_exposure_analysis!$A$10</definedName>
    <definedName name="_xlchart.v2.15" hidden="1">supplier_exposure_analysis!$A$11</definedName>
    <definedName name="_xlchart.v2.16" hidden="1">supplier_exposure_analysis!$A$12</definedName>
    <definedName name="_xlchart.v2.17" hidden="1">supplier_exposure_analysis!$A$13</definedName>
    <definedName name="_xlchart.v2.18" hidden="1">supplier_exposure_analysis!$A$14</definedName>
    <definedName name="_xlchart.v2.19" hidden="1">supplier_exposure_analysis!$A$15</definedName>
    <definedName name="_xlchart.v2.2" hidden="1">supplier_exposure_analysis!#REF!</definedName>
    <definedName name="_xlchart.v2.20" hidden="1">supplier_exposure_analysis!$A$16</definedName>
    <definedName name="_xlchart.v2.21" hidden="1">supplier_exposure_analysis!$A$17</definedName>
    <definedName name="_xlchart.v2.22" hidden="1">supplier_exposure_analysis!$A$18</definedName>
    <definedName name="_xlchart.v2.23" hidden="1">supplier_exposure_analysis!$A$19</definedName>
    <definedName name="_xlchart.v2.24" hidden="1">supplier_exposure_analysis!$A$3</definedName>
    <definedName name="_xlchart.v2.25" hidden="1">supplier_exposure_analysis!$A$4</definedName>
    <definedName name="_xlchart.v2.26" hidden="1">supplier_exposure_analysis!$A$5</definedName>
    <definedName name="_xlchart.v2.27" hidden="1">supplier_exposure_analysis!$A$6</definedName>
    <definedName name="_xlchart.v2.28" hidden="1">supplier_exposure_analysis!$A$7</definedName>
    <definedName name="_xlchart.v2.29" hidden="1">supplier_exposure_analysis!$A$8</definedName>
    <definedName name="_xlchart.v2.3" hidden="1">supplier_exposure_analysis!#REF!</definedName>
    <definedName name="_xlchart.v2.30" hidden="1">supplier_exposure_analysis!$A$9</definedName>
    <definedName name="_xlchart.v2.31" hidden="1">supplier_exposure_analysis!$B$10:$G$10</definedName>
    <definedName name="_xlchart.v2.32" hidden="1">supplier_exposure_analysis!$B$11:$G$11</definedName>
    <definedName name="_xlchart.v2.33" hidden="1">supplier_exposure_analysis!$B$12:$G$12</definedName>
    <definedName name="_xlchart.v2.34" hidden="1">supplier_exposure_analysis!$B$13:$G$13</definedName>
    <definedName name="_xlchart.v2.35" hidden="1">supplier_exposure_analysis!$B$14:$G$14</definedName>
    <definedName name="_xlchart.v2.36" hidden="1">supplier_exposure_analysis!$B$15:$G$15</definedName>
    <definedName name="_xlchart.v2.37" hidden="1">supplier_exposure_analysis!$B$16:$G$16</definedName>
    <definedName name="_xlchart.v2.38" hidden="1">supplier_exposure_analysis!$B$17:$G$17</definedName>
    <definedName name="_xlchart.v2.39" hidden="1">supplier_exposure_analysis!$B$18:$G$18</definedName>
    <definedName name="_xlchart.v2.4" hidden="1">supplier_exposure_analysis!$B$19:$F$19</definedName>
    <definedName name="_xlchart.v2.40" hidden="1">supplier_exposure_analysis!$B$19:$G$19</definedName>
    <definedName name="_xlchart.v2.41" hidden="1">supplier_exposure_analysis!$B$1:$G$2</definedName>
    <definedName name="_xlchart.v2.42" hidden="1">supplier_exposure_analysis!$B$3:$G$3</definedName>
    <definedName name="_xlchart.v2.43" hidden="1">supplier_exposure_analysis!$B$4:$G$4</definedName>
    <definedName name="_xlchart.v2.44" hidden="1">supplier_exposure_analysis!$B$5:$G$5</definedName>
    <definedName name="_xlchart.v2.45" hidden="1">supplier_exposure_analysis!$B$6:$G$6</definedName>
    <definedName name="_xlchart.v2.46" hidden="1">supplier_exposure_analysis!$B$7:$G$7</definedName>
    <definedName name="_xlchart.v2.47" hidden="1">supplier_exposure_analysis!$B$8:$G$8</definedName>
    <definedName name="_xlchart.v2.48" hidden="1">supplier_exposure_analysis!$B$9:$G$9</definedName>
    <definedName name="_xlchart.v2.49" hidden="1">supplier_exposure_analysis!$B$19:$F$19</definedName>
    <definedName name="_xlchart.v2.5" hidden="1">supplier_exposure_analysis!$B$2:$F$2</definedName>
    <definedName name="_xlchart.v2.50" hidden="1">supplier_exposure_analysis!$B$2:$F$2</definedName>
    <definedName name="_xlchart.v2.6" hidden="1">supplier_exposure_analysis!$B$19:$F$19</definedName>
    <definedName name="_xlchart.v2.7" hidden="1">supplier_exposure_analysis!$B$2:$F$2</definedName>
    <definedName name="_xlchart.v2.8" hidden="1">supplier_exposure_analysis!$B$19:$F$19</definedName>
    <definedName name="_xlchart.v2.9" hidden="1">supplier_exposure_analysis!$B$2:$F$2</definedName>
  </definedNames>
  <calcPr calcId="191029"/>
  <pivotCaches>
    <pivotCache cacheId="4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2" l="1"/>
  <c r="F19" i="2"/>
  <c r="B19" i="2"/>
  <c r="D19" i="2"/>
  <c r="C19" i="2"/>
  <c r="T16" i="11"/>
  <c r="T18" i="11"/>
  <c r="T17" i="11"/>
  <c r="T19" i="11"/>
  <c r="L6" i="11"/>
  <c r="K5" i="11"/>
  <c r="L7" i="11"/>
  <c r="K2" i="11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2" i="8"/>
  <c r="K4" i="11"/>
  <c r="I14" i="5"/>
  <c r="I7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2" i="5"/>
  <c r="K7" i="5"/>
  <c r="K10" i="5"/>
  <c r="O7" i="5"/>
  <c r="E3" i="5"/>
  <c r="L2" i="11"/>
  <c r="L3" i="11"/>
  <c r="L4" i="11"/>
  <c r="L5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K3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O3" i="5"/>
  <c r="O4" i="5"/>
  <c r="O5" i="5"/>
  <c r="O6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2" i="5"/>
  <c r="K3" i="5"/>
  <c r="K4" i="5"/>
  <c r="K5" i="5"/>
  <c r="K6" i="5"/>
  <c r="K8" i="5"/>
  <c r="K9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2" i="5"/>
  <c r="I37" i="5"/>
  <c r="I3" i="5"/>
  <c r="I4" i="5"/>
  <c r="I5" i="5"/>
  <c r="I6" i="5"/>
  <c r="I8" i="5"/>
  <c r="I9" i="5"/>
  <c r="I10" i="5"/>
  <c r="I11" i="5"/>
  <c r="I12" i="5"/>
  <c r="I13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2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2" i="5"/>
  <c r="K1001" i="3" a="1"/>
  <c r="K1001" i="3" s="1"/>
  <c r="K1000" i="3" a="1"/>
  <c r="K1000" i="3" s="1"/>
  <c r="K999" i="3" a="1"/>
  <c r="K999" i="3" s="1"/>
  <c r="K998" i="3" a="1"/>
  <c r="K998" i="3" s="1"/>
  <c r="K997" i="3" a="1"/>
  <c r="K997" i="3" s="1"/>
  <c r="K996" i="3" a="1"/>
  <c r="K996" i="3" s="1"/>
  <c r="K995" i="3" a="1"/>
  <c r="K995" i="3" s="1"/>
  <c r="K994" i="3" a="1"/>
  <c r="K994" i="3" s="1"/>
  <c r="K993" i="3" a="1"/>
  <c r="K993" i="3" s="1"/>
  <c r="K992" i="3" a="1"/>
  <c r="K992" i="3" s="1"/>
  <c r="K991" i="3" a="1"/>
  <c r="K991" i="3" s="1"/>
  <c r="K990" i="3" a="1"/>
  <c r="K990" i="3" s="1"/>
  <c r="K989" i="3" a="1"/>
  <c r="K989" i="3" s="1"/>
  <c r="K988" i="3" a="1"/>
  <c r="K988" i="3" s="1"/>
  <c r="K987" i="3" a="1"/>
  <c r="K987" i="3" s="1"/>
  <c r="K986" i="3" a="1"/>
  <c r="K986" i="3" s="1"/>
  <c r="K985" i="3" a="1"/>
  <c r="K985" i="3" s="1"/>
  <c r="K984" i="3" a="1"/>
  <c r="K984" i="3" s="1"/>
  <c r="K983" i="3" a="1"/>
  <c r="K983" i="3" s="1"/>
  <c r="K982" i="3" a="1"/>
  <c r="K982" i="3" s="1"/>
  <c r="K981" i="3" a="1"/>
  <c r="K981" i="3" s="1"/>
  <c r="K980" i="3" a="1"/>
  <c r="K980" i="3" s="1"/>
  <c r="K979" i="3" a="1"/>
  <c r="K979" i="3" s="1"/>
  <c r="K978" i="3" a="1"/>
  <c r="K978" i="3" s="1"/>
  <c r="K977" i="3" a="1"/>
  <c r="K977" i="3" s="1"/>
  <c r="K976" i="3" a="1"/>
  <c r="K976" i="3" s="1"/>
  <c r="K975" i="3" a="1"/>
  <c r="K975" i="3" s="1"/>
  <c r="K974" i="3" a="1"/>
  <c r="K974" i="3" s="1"/>
  <c r="K973" i="3" a="1"/>
  <c r="K973" i="3" s="1"/>
  <c r="K972" i="3" a="1"/>
  <c r="K972" i="3" s="1"/>
  <c r="K971" i="3" a="1"/>
  <c r="K971" i="3" s="1"/>
  <c r="K970" i="3" a="1"/>
  <c r="K970" i="3" s="1"/>
  <c r="K969" i="3" a="1"/>
  <c r="K969" i="3" s="1"/>
  <c r="K968" i="3" a="1"/>
  <c r="K968" i="3" s="1"/>
  <c r="K967" i="3" a="1"/>
  <c r="K967" i="3" s="1"/>
  <c r="K966" i="3" a="1"/>
  <c r="K966" i="3" s="1"/>
  <c r="K965" i="3" a="1"/>
  <c r="K965" i="3" s="1"/>
  <c r="K964" i="3" a="1"/>
  <c r="K964" i="3" s="1"/>
  <c r="K963" i="3" a="1"/>
  <c r="K963" i="3" s="1"/>
  <c r="K962" i="3" a="1"/>
  <c r="K962" i="3" s="1"/>
  <c r="K961" i="3" a="1"/>
  <c r="K961" i="3" s="1"/>
  <c r="K960" i="3" a="1"/>
  <c r="K960" i="3" s="1"/>
  <c r="K959" i="3" a="1"/>
  <c r="K959" i="3" s="1"/>
  <c r="K958" i="3" a="1"/>
  <c r="K958" i="3" s="1"/>
  <c r="K957" i="3" a="1"/>
  <c r="K957" i="3" s="1"/>
  <c r="K956" i="3" a="1"/>
  <c r="K956" i="3" s="1"/>
  <c r="K955" i="3" a="1"/>
  <c r="K955" i="3" s="1"/>
  <c r="K954" i="3" a="1"/>
  <c r="K954" i="3" s="1"/>
  <c r="K953" i="3" a="1"/>
  <c r="K953" i="3" s="1"/>
  <c r="K952" i="3" a="1"/>
  <c r="K952" i="3" s="1"/>
  <c r="K951" i="3" a="1"/>
  <c r="K951" i="3" s="1"/>
  <c r="K950" i="3" a="1"/>
  <c r="K950" i="3" s="1"/>
  <c r="K949" i="3" a="1"/>
  <c r="K949" i="3" s="1"/>
  <c r="K948" i="3" a="1"/>
  <c r="K948" i="3" s="1"/>
  <c r="K947" i="3" a="1"/>
  <c r="K947" i="3" s="1"/>
  <c r="K946" i="3" a="1"/>
  <c r="K946" i="3" s="1"/>
  <c r="K945" i="3" a="1"/>
  <c r="K945" i="3" s="1"/>
  <c r="K944" i="3" a="1"/>
  <c r="K944" i="3" s="1"/>
  <c r="K943" i="3" a="1"/>
  <c r="K943" i="3" s="1"/>
  <c r="K942" i="3" a="1"/>
  <c r="K942" i="3" s="1"/>
  <c r="K941" i="3" a="1"/>
  <c r="K941" i="3" s="1"/>
  <c r="K940" i="3" a="1"/>
  <c r="K940" i="3" s="1"/>
  <c r="K939" i="3" a="1"/>
  <c r="K939" i="3" s="1"/>
  <c r="K938" i="3" a="1"/>
  <c r="K938" i="3" s="1"/>
  <c r="K937" i="3" a="1"/>
  <c r="K937" i="3" s="1"/>
  <c r="K936" i="3" a="1"/>
  <c r="K936" i="3" s="1"/>
  <c r="K935" i="3" a="1"/>
  <c r="K935" i="3" s="1"/>
  <c r="K934" i="3" a="1"/>
  <c r="K934" i="3" s="1"/>
  <c r="K933" i="3" a="1"/>
  <c r="K933" i="3" s="1"/>
  <c r="K932" i="3" a="1"/>
  <c r="K932" i="3" s="1"/>
  <c r="K931" i="3" a="1"/>
  <c r="K931" i="3" s="1"/>
  <c r="K930" i="3" a="1"/>
  <c r="K930" i="3" s="1"/>
  <c r="K929" i="3" a="1"/>
  <c r="K929" i="3" s="1"/>
  <c r="K928" i="3" a="1"/>
  <c r="K928" i="3" s="1"/>
  <c r="K927" i="3" a="1"/>
  <c r="K927" i="3" s="1"/>
  <c r="K926" i="3" a="1"/>
  <c r="K926" i="3" s="1"/>
  <c r="K925" i="3" a="1"/>
  <c r="K925" i="3" s="1"/>
  <c r="K924" i="3" a="1"/>
  <c r="K924" i="3" s="1"/>
  <c r="K923" i="3" a="1"/>
  <c r="K923" i="3" s="1"/>
  <c r="K922" i="3" a="1"/>
  <c r="K922" i="3" s="1"/>
  <c r="K921" i="3" a="1"/>
  <c r="K921" i="3" s="1"/>
  <c r="K920" i="3" a="1"/>
  <c r="K920" i="3" s="1"/>
  <c r="K919" i="3" a="1"/>
  <c r="K919" i="3" s="1"/>
  <c r="K918" i="3" a="1"/>
  <c r="K918" i="3" s="1"/>
  <c r="K917" i="3" a="1"/>
  <c r="K917" i="3" s="1"/>
  <c r="K916" i="3" a="1"/>
  <c r="K916" i="3" s="1"/>
  <c r="K915" i="3" a="1"/>
  <c r="K915" i="3" s="1"/>
  <c r="K914" i="3" a="1"/>
  <c r="K914" i="3" s="1"/>
  <c r="K913" i="3" a="1"/>
  <c r="K913" i="3" s="1"/>
  <c r="K912" i="3" a="1"/>
  <c r="K912" i="3" s="1"/>
  <c r="K911" i="3" a="1"/>
  <c r="K911" i="3" s="1"/>
  <c r="K910" i="3" a="1"/>
  <c r="K910" i="3" s="1"/>
  <c r="K909" i="3" a="1"/>
  <c r="K909" i="3" s="1"/>
  <c r="K908" i="3" a="1"/>
  <c r="K908" i="3" s="1"/>
  <c r="K907" i="3" a="1"/>
  <c r="K907" i="3" s="1"/>
  <c r="K906" i="3" a="1"/>
  <c r="K906" i="3" s="1"/>
  <c r="K905" i="3" a="1"/>
  <c r="K905" i="3" s="1"/>
  <c r="K904" i="3" a="1"/>
  <c r="K904" i="3" s="1"/>
  <c r="K903" i="3" a="1"/>
  <c r="K903" i="3" s="1"/>
  <c r="K902" i="3" a="1"/>
  <c r="K902" i="3" s="1"/>
  <c r="K901" i="3" a="1"/>
  <c r="K901" i="3" s="1"/>
  <c r="K900" i="3" a="1"/>
  <c r="K900" i="3" s="1"/>
  <c r="K899" i="3" a="1"/>
  <c r="K899" i="3" s="1"/>
  <c r="K898" i="3" a="1"/>
  <c r="K898" i="3" s="1"/>
  <c r="K897" i="3" a="1"/>
  <c r="K897" i="3" s="1"/>
  <c r="K896" i="3" a="1"/>
  <c r="K896" i="3" s="1"/>
  <c r="K895" i="3" a="1"/>
  <c r="K895" i="3" s="1"/>
  <c r="K894" i="3" a="1"/>
  <c r="K894" i="3" s="1"/>
  <c r="K893" i="3" a="1"/>
  <c r="K893" i="3" s="1"/>
  <c r="K892" i="3" a="1"/>
  <c r="K892" i="3" s="1"/>
  <c r="K891" i="3" a="1"/>
  <c r="K891" i="3" s="1"/>
  <c r="K890" i="3" a="1"/>
  <c r="K890" i="3" s="1"/>
  <c r="K889" i="3" a="1"/>
  <c r="K889" i="3" s="1"/>
  <c r="K888" i="3" a="1"/>
  <c r="K888" i="3" s="1"/>
  <c r="K887" i="3" a="1"/>
  <c r="K887" i="3" s="1"/>
  <c r="K886" i="3" a="1"/>
  <c r="K886" i="3" s="1"/>
  <c r="K885" i="3" a="1"/>
  <c r="K885" i="3" s="1"/>
  <c r="K884" i="3" a="1"/>
  <c r="K884" i="3" s="1"/>
  <c r="K883" i="3" a="1"/>
  <c r="K883" i="3" s="1"/>
  <c r="K882" i="3" a="1"/>
  <c r="K882" i="3" s="1"/>
  <c r="K881" i="3" a="1"/>
  <c r="K881" i="3" s="1"/>
  <c r="K880" i="3" a="1"/>
  <c r="K880" i="3" s="1"/>
  <c r="K879" i="3" a="1"/>
  <c r="K879" i="3" s="1"/>
  <c r="K878" i="3" a="1"/>
  <c r="K878" i="3" s="1"/>
  <c r="K877" i="3" a="1"/>
  <c r="K877" i="3" s="1"/>
  <c r="K876" i="3" a="1"/>
  <c r="K876" i="3" s="1"/>
  <c r="K875" i="3" a="1"/>
  <c r="K875" i="3" s="1"/>
  <c r="K874" i="3" a="1"/>
  <c r="K874" i="3" s="1"/>
  <c r="K873" i="3" a="1"/>
  <c r="K873" i="3" s="1"/>
  <c r="K872" i="3" a="1"/>
  <c r="K872" i="3" s="1"/>
  <c r="K871" i="3" a="1"/>
  <c r="K871" i="3" s="1"/>
  <c r="K870" i="3" a="1"/>
  <c r="K870" i="3" s="1"/>
  <c r="K869" i="3" a="1"/>
  <c r="K869" i="3" s="1"/>
  <c r="K868" i="3" a="1"/>
  <c r="K868" i="3" s="1"/>
  <c r="K867" i="3" a="1"/>
  <c r="K867" i="3" s="1"/>
  <c r="K866" i="3" a="1"/>
  <c r="K866" i="3" s="1"/>
  <c r="K865" i="3" a="1"/>
  <c r="K865" i="3" s="1"/>
  <c r="K864" i="3" a="1"/>
  <c r="K864" i="3" s="1"/>
  <c r="K863" i="3" a="1"/>
  <c r="K863" i="3" s="1"/>
  <c r="K862" i="3" a="1"/>
  <c r="K862" i="3" s="1"/>
  <c r="K861" i="3" a="1"/>
  <c r="K861" i="3" s="1"/>
  <c r="K860" i="3" a="1"/>
  <c r="K860" i="3" s="1"/>
  <c r="K859" i="3" a="1"/>
  <c r="K859" i="3" s="1"/>
  <c r="K858" i="3" a="1"/>
  <c r="K858" i="3" s="1"/>
  <c r="K857" i="3" a="1"/>
  <c r="K857" i="3" s="1"/>
  <c r="K856" i="3" a="1"/>
  <c r="K856" i="3" s="1"/>
  <c r="K855" i="3" a="1"/>
  <c r="K855" i="3" s="1"/>
  <c r="K854" i="3" a="1"/>
  <c r="K854" i="3" s="1"/>
  <c r="K853" i="3" a="1"/>
  <c r="K853" i="3" s="1"/>
  <c r="K852" i="3" a="1"/>
  <c r="K852" i="3" s="1"/>
  <c r="K851" i="3" a="1"/>
  <c r="K851" i="3" s="1"/>
  <c r="K850" i="3" a="1"/>
  <c r="K850" i="3" s="1"/>
  <c r="K849" i="3" a="1"/>
  <c r="K849" i="3" s="1"/>
  <c r="K848" i="3" a="1"/>
  <c r="K848" i="3" s="1"/>
  <c r="K847" i="3" a="1"/>
  <c r="K847" i="3" s="1"/>
  <c r="K846" i="3" a="1"/>
  <c r="K846" i="3" s="1"/>
  <c r="K845" i="3" a="1"/>
  <c r="K845" i="3" s="1"/>
  <c r="K844" i="3" a="1"/>
  <c r="K844" i="3" s="1"/>
  <c r="K843" i="3" a="1"/>
  <c r="K843" i="3" s="1"/>
  <c r="K842" i="3" a="1"/>
  <c r="K842" i="3" s="1"/>
  <c r="K841" i="3" a="1"/>
  <c r="K841" i="3" s="1"/>
  <c r="K840" i="3" a="1"/>
  <c r="K840" i="3" s="1"/>
  <c r="K839" i="3" a="1"/>
  <c r="K839" i="3" s="1"/>
  <c r="K838" i="3" a="1"/>
  <c r="K838" i="3" s="1"/>
  <c r="K837" i="3" a="1"/>
  <c r="K837" i="3" s="1"/>
  <c r="K836" i="3" a="1"/>
  <c r="K836" i="3" s="1"/>
  <c r="K835" i="3" a="1"/>
  <c r="K835" i="3" s="1"/>
  <c r="K834" i="3" a="1"/>
  <c r="K834" i="3" s="1"/>
  <c r="K833" i="3" a="1"/>
  <c r="K833" i="3" s="1"/>
  <c r="K832" i="3" a="1"/>
  <c r="K832" i="3" s="1"/>
  <c r="K831" i="3" a="1"/>
  <c r="K831" i="3" s="1"/>
  <c r="K830" i="3" a="1"/>
  <c r="K830" i="3" s="1"/>
  <c r="K829" i="3" a="1"/>
  <c r="K829" i="3" s="1"/>
  <c r="K828" i="3" a="1"/>
  <c r="K828" i="3" s="1"/>
  <c r="K827" i="3" a="1"/>
  <c r="K827" i="3" s="1"/>
  <c r="K826" i="3" a="1"/>
  <c r="K826" i="3" s="1"/>
  <c r="K825" i="3" a="1"/>
  <c r="K825" i="3" s="1"/>
  <c r="K824" i="3" a="1"/>
  <c r="K824" i="3" s="1"/>
  <c r="K823" i="3" a="1"/>
  <c r="K823" i="3" s="1"/>
  <c r="K822" i="3" a="1"/>
  <c r="K822" i="3" s="1"/>
  <c r="K821" i="3" a="1"/>
  <c r="K821" i="3" s="1"/>
  <c r="K820" i="3" a="1"/>
  <c r="K820" i="3" s="1"/>
  <c r="K819" i="3" a="1"/>
  <c r="K819" i="3" s="1"/>
  <c r="K818" i="3" a="1"/>
  <c r="K818" i="3" s="1"/>
  <c r="K817" i="3" a="1"/>
  <c r="K817" i="3" s="1"/>
  <c r="K816" i="3" a="1"/>
  <c r="K816" i="3" s="1"/>
  <c r="K815" i="3" a="1"/>
  <c r="K815" i="3" s="1"/>
  <c r="K814" i="3" a="1"/>
  <c r="K814" i="3" s="1"/>
  <c r="K813" i="3" a="1"/>
  <c r="K813" i="3" s="1"/>
  <c r="K812" i="3" a="1"/>
  <c r="K812" i="3" s="1"/>
  <c r="K811" i="3" a="1"/>
  <c r="K811" i="3" s="1"/>
  <c r="K810" i="3" a="1"/>
  <c r="K810" i="3" s="1"/>
  <c r="K809" i="3" a="1"/>
  <c r="K809" i="3" s="1"/>
  <c r="K808" i="3" a="1"/>
  <c r="K808" i="3" s="1"/>
  <c r="K807" i="3" a="1"/>
  <c r="K807" i="3" s="1"/>
  <c r="K806" i="3" a="1"/>
  <c r="K806" i="3" s="1"/>
  <c r="K805" i="3" a="1"/>
  <c r="K805" i="3" s="1"/>
  <c r="K804" i="3" a="1"/>
  <c r="K804" i="3" s="1"/>
  <c r="K803" i="3" a="1"/>
  <c r="K803" i="3" s="1"/>
  <c r="K802" i="3" a="1"/>
  <c r="K802" i="3" s="1"/>
  <c r="K801" i="3" a="1"/>
  <c r="K801" i="3" s="1"/>
  <c r="K800" i="3" a="1"/>
  <c r="K800" i="3" s="1"/>
  <c r="K799" i="3" a="1"/>
  <c r="K799" i="3" s="1"/>
  <c r="K798" i="3" a="1"/>
  <c r="K798" i="3" s="1"/>
  <c r="K797" i="3" a="1"/>
  <c r="K797" i="3" s="1"/>
  <c r="K796" i="3" a="1"/>
  <c r="K796" i="3" s="1"/>
  <c r="K795" i="3" a="1"/>
  <c r="K795" i="3" s="1"/>
  <c r="K794" i="3" a="1"/>
  <c r="K794" i="3" s="1"/>
  <c r="K793" i="3" a="1"/>
  <c r="K793" i="3" s="1"/>
  <c r="K792" i="3" a="1"/>
  <c r="K792" i="3" s="1"/>
  <c r="K791" i="3" a="1"/>
  <c r="K791" i="3" s="1"/>
  <c r="K790" i="3" a="1"/>
  <c r="K790" i="3" s="1"/>
  <c r="K789" i="3" a="1"/>
  <c r="K789" i="3" s="1"/>
  <c r="K788" i="3" a="1"/>
  <c r="K788" i="3" s="1"/>
  <c r="K787" i="3" a="1"/>
  <c r="K787" i="3" s="1"/>
  <c r="K786" i="3" a="1"/>
  <c r="K786" i="3" s="1"/>
  <c r="K785" i="3" a="1"/>
  <c r="K785" i="3" s="1"/>
  <c r="K784" i="3" a="1"/>
  <c r="K784" i="3" s="1"/>
  <c r="K783" i="3" a="1"/>
  <c r="K783" i="3" s="1"/>
  <c r="K782" i="3" a="1"/>
  <c r="K782" i="3" s="1"/>
  <c r="K781" i="3" a="1"/>
  <c r="K781" i="3" s="1"/>
  <c r="K780" i="3" a="1"/>
  <c r="K780" i="3" s="1"/>
  <c r="K779" i="3" a="1"/>
  <c r="K779" i="3" s="1"/>
  <c r="K778" i="3" a="1"/>
  <c r="K778" i="3" s="1"/>
  <c r="K777" i="3" a="1"/>
  <c r="K777" i="3" s="1"/>
  <c r="K776" i="3" a="1"/>
  <c r="K776" i="3" s="1"/>
  <c r="K775" i="3" a="1"/>
  <c r="K775" i="3" s="1"/>
  <c r="K774" i="3" a="1"/>
  <c r="K774" i="3" s="1"/>
  <c r="K773" i="3" a="1"/>
  <c r="K773" i="3" s="1"/>
  <c r="K772" i="3" a="1"/>
  <c r="K772" i="3" s="1"/>
  <c r="K771" i="3" a="1"/>
  <c r="K771" i="3" s="1"/>
  <c r="K770" i="3" a="1"/>
  <c r="K770" i="3" s="1"/>
  <c r="K769" i="3" a="1"/>
  <c r="K769" i="3" s="1"/>
  <c r="K768" i="3" a="1"/>
  <c r="K768" i="3" s="1"/>
  <c r="K767" i="3" a="1"/>
  <c r="K767" i="3" s="1"/>
  <c r="K766" i="3" a="1"/>
  <c r="K766" i="3" s="1"/>
  <c r="K765" i="3" a="1"/>
  <c r="K765" i="3" s="1"/>
  <c r="K764" i="3" a="1"/>
  <c r="K764" i="3" s="1"/>
  <c r="K763" i="3" a="1"/>
  <c r="K763" i="3" s="1"/>
  <c r="K762" i="3" a="1"/>
  <c r="K762" i="3" s="1"/>
  <c r="K761" i="3" a="1"/>
  <c r="K761" i="3" s="1"/>
  <c r="K760" i="3" a="1"/>
  <c r="K760" i="3" s="1"/>
  <c r="K759" i="3" a="1"/>
  <c r="K759" i="3" s="1"/>
  <c r="K758" i="3" a="1"/>
  <c r="K758" i="3" s="1"/>
  <c r="K757" i="3" a="1"/>
  <c r="K757" i="3" s="1"/>
  <c r="K756" i="3" a="1"/>
  <c r="K756" i="3" s="1"/>
  <c r="K755" i="3" a="1"/>
  <c r="K755" i="3" s="1"/>
  <c r="K754" i="3" a="1"/>
  <c r="K754" i="3" s="1"/>
  <c r="K753" i="3" a="1"/>
  <c r="K753" i="3" s="1"/>
  <c r="K752" i="3" a="1"/>
  <c r="K752" i="3" s="1"/>
  <c r="K751" i="3" a="1"/>
  <c r="K751" i="3" s="1"/>
  <c r="K750" i="3" a="1"/>
  <c r="K750" i="3" s="1"/>
  <c r="K749" i="3" a="1"/>
  <c r="K749" i="3" s="1"/>
  <c r="K748" i="3" a="1"/>
  <c r="K748" i="3" s="1"/>
  <c r="K747" i="3" a="1"/>
  <c r="K747" i="3" s="1"/>
  <c r="K746" i="3" a="1"/>
  <c r="K746" i="3" s="1"/>
  <c r="K745" i="3" a="1"/>
  <c r="K745" i="3" s="1"/>
  <c r="K744" i="3" a="1"/>
  <c r="K744" i="3" s="1"/>
  <c r="K743" i="3" a="1"/>
  <c r="K743" i="3" s="1"/>
  <c r="K742" i="3" a="1"/>
  <c r="K742" i="3" s="1"/>
  <c r="K741" i="3" a="1"/>
  <c r="K741" i="3" s="1"/>
  <c r="K740" i="3" a="1"/>
  <c r="K740" i="3" s="1"/>
  <c r="K739" i="3" a="1"/>
  <c r="K739" i="3" s="1"/>
  <c r="K738" i="3" a="1"/>
  <c r="K738" i="3" s="1"/>
  <c r="K737" i="3" a="1"/>
  <c r="K737" i="3" s="1"/>
  <c r="K736" i="3" a="1"/>
  <c r="K736" i="3" s="1"/>
  <c r="K735" i="3" a="1"/>
  <c r="K735" i="3" s="1"/>
  <c r="K734" i="3" a="1"/>
  <c r="K734" i="3" s="1"/>
  <c r="K733" i="3" a="1"/>
  <c r="K733" i="3" s="1"/>
  <c r="K732" i="3" a="1"/>
  <c r="K732" i="3" s="1"/>
  <c r="K731" i="3" a="1"/>
  <c r="K731" i="3" s="1"/>
  <c r="K730" i="3" a="1"/>
  <c r="K730" i="3" s="1"/>
  <c r="K729" i="3" a="1"/>
  <c r="K729" i="3" s="1"/>
  <c r="K728" i="3" a="1"/>
  <c r="K728" i="3" s="1"/>
  <c r="K727" i="3" a="1"/>
  <c r="K727" i="3" s="1"/>
  <c r="K726" i="3" a="1"/>
  <c r="K726" i="3" s="1"/>
  <c r="K725" i="3" a="1"/>
  <c r="K725" i="3" s="1"/>
  <c r="K724" i="3" a="1"/>
  <c r="K724" i="3" s="1"/>
  <c r="K723" i="3" a="1"/>
  <c r="K723" i="3" s="1"/>
  <c r="K722" i="3" a="1"/>
  <c r="K722" i="3" s="1"/>
  <c r="K721" i="3" a="1"/>
  <c r="K721" i="3" s="1"/>
  <c r="K720" i="3" a="1"/>
  <c r="K720" i="3" s="1"/>
  <c r="K719" i="3" a="1"/>
  <c r="K719" i="3" s="1"/>
  <c r="K718" i="3" a="1"/>
  <c r="K718" i="3" s="1"/>
  <c r="K717" i="3" a="1"/>
  <c r="K717" i="3" s="1"/>
  <c r="K716" i="3" a="1"/>
  <c r="K716" i="3" s="1"/>
  <c r="K715" i="3" a="1"/>
  <c r="K715" i="3" s="1"/>
  <c r="K714" i="3" a="1"/>
  <c r="K714" i="3" s="1"/>
  <c r="K713" i="3" a="1"/>
  <c r="K713" i="3" s="1"/>
  <c r="K712" i="3" a="1"/>
  <c r="K712" i="3" s="1"/>
  <c r="K711" i="3" a="1"/>
  <c r="K711" i="3" s="1"/>
  <c r="K710" i="3" a="1"/>
  <c r="K710" i="3" s="1"/>
  <c r="K709" i="3" a="1"/>
  <c r="K709" i="3" s="1"/>
  <c r="K708" i="3" a="1"/>
  <c r="K708" i="3" s="1"/>
  <c r="K707" i="3" a="1"/>
  <c r="K707" i="3" s="1"/>
  <c r="K706" i="3" a="1"/>
  <c r="K706" i="3" s="1"/>
  <c r="K705" i="3" a="1"/>
  <c r="K705" i="3" s="1"/>
  <c r="K704" i="3" a="1"/>
  <c r="K704" i="3" s="1"/>
  <c r="K703" i="3" a="1"/>
  <c r="K703" i="3" s="1"/>
  <c r="K702" i="3" a="1"/>
  <c r="K702" i="3" s="1"/>
  <c r="K701" i="3" a="1"/>
  <c r="K701" i="3" s="1"/>
  <c r="K700" i="3" a="1"/>
  <c r="K700" i="3" s="1"/>
  <c r="K699" i="3" a="1"/>
  <c r="K699" i="3" s="1"/>
  <c r="K698" i="3" a="1"/>
  <c r="K698" i="3" s="1"/>
  <c r="K697" i="3" a="1"/>
  <c r="K697" i="3" s="1"/>
  <c r="K696" i="3" a="1"/>
  <c r="K696" i="3" s="1"/>
  <c r="K695" i="3" a="1"/>
  <c r="K695" i="3" s="1"/>
  <c r="K694" i="3" a="1"/>
  <c r="K694" i="3" s="1"/>
  <c r="K693" i="3" a="1"/>
  <c r="K693" i="3" s="1"/>
  <c r="K692" i="3" a="1"/>
  <c r="K692" i="3" s="1"/>
  <c r="K691" i="3" a="1"/>
  <c r="K691" i="3" s="1"/>
  <c r="K690" i="3" a="1"/>
  <c r="K690" i="3" s="1"/>
  <c r="K689" i="3" a="1"/>
  <c r="K689" i="3" s="1"/>
  <c r="K688" i="3" a="1"/>
  <c r="K688" i="3" s="1"/>
  <c r="K687" i="3" a="1"/>
  <c r="K687" i="3" s="1"/>
  <c r="K686" i="3" a="1"/>
  <c r="K686" i="3" s="1"/>
  <c r="K685" i="3" a="1"/>
  <c r="K685" i="3" s="1"/>
  <c r="K684" i="3" a="1"/>
  <c r="K684" i="3" s="1"/>
  <c r="K683" i="3" a="1"/>
  <c r="K683" i="3" s="1"/>
  <c r="K682" i="3" a="1"/>
  <c r="K682" i="3" s="1"/>
  <c r="K681" i="3" a="1"/>
  <c r="K681" i="3" s="1"/>
  <c r="K680" i="3" a="1"/>
  <c r="K680" i="3" s="1"/>
  <c r="K679" i="3" a="1"/>
  <c r="K679" i="3" s="1"/>
  <c r="K678" i="3" a="1"/>
  <c r="K678" i="3" s="1"/>
  <c r="K677" i="3" a="1"/>
  <c r="K677" i="3" s="1"/>
  <c r="K676" i="3" a="1"/>
  <c r="K676" i="3" s="1"/>
  <c r="K675" i="3" a="1"/>
  <c r="K675" i="3" s="1"/>
  <c r="K674" i="3" a="1"/>
  <c r="K674" i="3" s="1"/>
  <c r="K673" i="3" a="1"/>
  <c r="K673" i="3" s="1"/>
  <c r="K672" i="3" a="1"/>
  <c r="K672" i="3" s="1"/>
  <c r="K671" i="3" a="1"/>
  <c r="K671" i="3" s="1"/>
  <c r="K670" i="3" a="1"/>
  <c r="K670" i="3" s="1"/>
  <c r="K669" i="3" a="1"/>
  <c r="K669" i="3" s="1"/>
  <c r="K668" i="3" a="1"/>
  <c r="K668" i="3" s="1"/>
  <c r="K667" i="3" a="1"/>
  <c r="K667" i="3" s="1"/>
  <c r="K666" i="3" a="1"/>
  <c r="K666" i="3" s="1"/>
  <c r="K665" i="3" a="1"/>
  <c r="K665" i="3" s="1"/>
  <c r="K664" i="3" a="1"/>
  <c r="K664" i="3" s="1"/>
  <c r="K663" i="3" a="1"/>
  <c r="K663" i="3" s="1"/>
  <c r="K662" i="3" a="1"/>
  <c r="K662" i="3" s="1"/>
  <c r="K661" i="3" a="1"/>
  <c r="K661" i="3" s="1"/>
  <c r="K660" i="3" a="1"/>
  <c r="K660" i="3" s="1"/>
  <c r="K659" i="3" a="1"/>
  <c r="K659" i="3" s="1"/>
  <c r="K658" i="3" a="1"/>
  <c r="K658" i="3" s="1"/>
  <c r="K657" i="3" a="1"/>
  <c r="K657" i="3" s="1"/>
  <c r="K656" i="3" a="1"/>
  <c r="K656" i="3" s="1"/>
  <c r="K655" i="3" a="1"/>
  <c r="K655" i="3" s="1"/>
  <c r="K654" i="3" a="1"/>
  <c r="K654" i="3" s="1"/>
  <c r="K653" i="3" a="1"/>
  <c r="K653" i="3" s="1"/>
  <c r="K652" i="3" a="1"/>
  <c r="K652" i="3" s="1"/>
  <c r="K651" i="3" a="1"/>
  <c r="K651" i="3" s="1"/>
  <c r="K650" i="3" a="1"/>
  <c r="K650" i="3" s="1"/>
  <c r="K649" i="3" a="1"/>
  <c r="K649" i="3" s="1"/>
  <c r="K648" i="3" a="1"/>
  <c r="K648" i="3" s="1"/>
  <c r="K647" i="3" a="1"/>
  <c r="K647" i="3" s="1"/>
  <c r="K646" i="3" a="1"/>
  <c r="K646" i="3" s="1"/>
  <c r="K645" i="3" a="1"/>
  <c r="K645" i="3" s="1"/>
  <c r="K644" i="3" a="1"/>
  <c r="K644" i="3" s="1"/>
  <c r="K643" i="3" a="1"/>
  <c r="K643" i="3" s="1"/>
  <c r="K642" i="3" a="1"/>
  <c r="K642" i="3" s="1"/>
  <c r="K641" i="3" a="1"/>
  <c r="K641" i="3" s="1"/>
  <c r="K640" i="3" a="1"/>
  <c r="K640" i="3" s="1"/>
  <c r="K639" i="3" a="1"/>
  <c r="K639" i="3" s="1"/>
  <c r="K638" i="3"/>
  <c r="K638" i="3" a="1"/>
  <c r="K637" i="3" a="1"/>
  <c r="K637" i="3" s="1"/>
  <c r="K636" i="3" a="1"/>
  <c r="K636" i="3" s="1"/>
  <c r="K635" i="3" a="1"/>
  <c r="K635" i="3" s="1"/>
  <c r="K634" i="3" a="1"/>
  <c r="K634" i="3" s="1"/>
  <c r="K633" i="3" a="1"/>
  <c r="K633" i="3" s="1"/>
  <c r="K632" i="3" a="1"/>
  <c r="K632" i="3" s="1"/>
  <c r="K631" i="3" a="1"/>
  <c r="K631" i="3" s="1"/>
  <c r="K630" i="3" a="1"/>
  <c r="K630" i="3" s="1"/>
  <c r="K629" i="3" a="1"/>
  <c r="K629" i="3" s="1"/>
  <c r="K628" i="3" a="1"/>
  <c r="K628" i="3" s="1"/>
  <c r="K627" i="3" a="1"/>
  <c r="K627" i="3" s="1"/>
  <c r="K626" i="3" a="1"/>
  <c r="K626" i="3" s="1"/>
  <c r="K625" i="3" a="1"/>
  <c r="K625" i="3" s="1"/>
  <c r="K624" i="3" a="1"/>
  <c r="K624" i="3" s="1"/>
  <c r="K623" i="3" a="1"/>
  <c r="K623" i="3" s="1"/>
  <c r="K622" i="3" a="1"/>
  <c r="K622" i="3" s="1"/>
  <c r="K621" i="3" a="1"/>
  <c r="K621" i="3" s="1"/>
  <c r="K620" i="3" a="1"/>
  <c r="K620" i="3" s="1"/>
  <c r="K619" i="3" a="1"/>
  <c r="K619" i="3" s="1"/>
  <c r="K618" i="3" a="1"/>
  <c r="K618" i="3" s="1"/>
  <c r="K617" i="3" a="1"/>
  <c r="K617" i="3" s="1"/>
  <c r="K616" i="3" a="1"/>
  <c r="K616" i="3" s="1"/>
  <c r="K615" i="3" a="1"/>
  <c r="K615" i="3" s="1"/>
  <c r="K614" i="3" a="1"/>
  <c r="K614" i="3" s="1"/>
  <c r="K613" i="3" a="1"/>
  <c r="K613" i="3" s="1"/>
  <c r="K612" i="3" a="1"/>
  <c r="K612" i="3" s="1"/>
  <c r="K611" i="3" a="1"/>
  <c r="K611" i="3" s="1"/>
  <c r="K610" i="3" a="1"/>
  <c r="K610" i="3" s="1"/>
  <c r="K609" i="3" a="1"/>
  <c r="K609" i="3" s="1"/>
  <c r="K608" i="3" a="1"/>
  <c r="K608" i="3" s="1"/>
  <c r="K607" i="3" a="1"/>
  <c r="K607" i="3" s="1"/>
  <c r="K606" i="3" a="1"/>
  <c r="K606" i="3" s="1"/>
  <c r="K605" i="3" a="1"/>
  <c r="K605" i="3" s="1"/>
  <c r="K604" i="3" a="1"/>
  <c r="K604" i="3" s="1"/>
  <c r="K603" i="3" a="1"/>
  <c r="K603" i="3" s="1"/>
  <c r="K602" i="3" a="1"/>
  <c r="K602" i="3" s="1"/>
  <c r="K601" i="3" a="1"/>
  <c r="K601" i="3" s="1"/>
  <c r="K600" i="3" a="1"/>
  <c r="K600" i="3" s="1"/>
  <c r="K599" i="3" a="1"/>
  <c r="K599" i="3" s="1"/>
  <c r="K598" i="3" a="1"/>
  <c r="K598" i="3" s="1"/>
  <c r="K597" i="3" a="1"/>
  <c r="K597" i="3" s="1"/>
  <c r="K596" i="3" a="1"/>
  <c r="K596" i="3" s="1"/>
  <c r="K595" i="3" a="1"/>
  <c r="K595" i="3" s="1"/>
  <c r="K594" i="3"/>
  <c r="K594" i="3" a="1"/>
  <c r="K593" i="3" a="1"/>
  <c r="K593" i="3" s="1"/>
  <c r="K592" i="3" a="1"/>
  <c r="K592" i="3" s="1"/>
  <c r="K591" i="3" a="1"/>
  <c r="K591" i="3" s="1"/>
  <c r="K590" i="3" a="1"/>
  <c r="K590" i="3" s="1"/>
  <c r="K589" i="3" a="1"/>
  <c r="K589" i="3" s="1"/>
  <c r="K588" i="3" a="1"/>
  <c r="K588" i="3" s="1"/>
  <c r="K587" i="3" a="1"/>
  <c r="K587" i="3" s="1"/>
  <c r="K586" i="3" a="1"/>
  <c r="K586" i="3" s="1"/>
  <c r="K585" i="3" a="1"/>
  <c r="K585" i="3" s="1"/>
  <c r="K584" i="3" a="1"/>
  <c r="K584" i="3" s="1"/>
  <c r="K583" i="3" a="1"/>
  <c r="K583" i="3" s="1"/>
  <c r="K582" i="3" a="1"/>
  <c r="K582" i="3" s="1"/>
  <c r="K581" i="3" a="1"/>
  <c r="K581" i="3" s="1"/>
  <c r="K580" i="3" a="1"/>
  <c r="K580" i="3" s="1"/>
  <c r="K579" i="3" a="1"/>
  <c r="K579" i="3" s="1"/>
  <c r="K578" i="3" a="1"/>
  <c r="K578" i="3" s="1"/>
  <c r="K577" i="3" a="1"/>
  <c r="K577" i="3" s="1"/>
  <c r="K576" i="3" a="1"/>
  <c r="K576" i="3" s="1"/>
  <c r="K575" i="3" a="1"/>
  <c r="K575" i="3" s="1"/>
  <c r="K574" i="3" a="1"/>
  <c r="K574" i="3" s="1"/>
  <c r="K573" i="3" a="1"/>
  <c r="K573" i="3" s="1"/>
  <c r="K572" i="3" a="1"/>
  <c r="K572" i="3" s="1"/>
  <c r="K571" i="3" a="1"/>
  <c r="K571" i="3" s="1"/>
  <c r="K570" i="3" a="1"/>
  <c r="K570" i="3" s="1"/>
  <c r="K569" i="3" a="1"/>
  <c r="K569" i="3" s="1"/>
  <c r="K568" i="3" a="1"/>
  <c r="K568" i="3" s="1"/>
  <c r="K567" i="3" a="1"/>
  <c r="K567" i="3" s="1"/>
  <c r="K566" i="3" a="1"/>
  <c r="K566" i="3" s="1"/>
  <c r="K565" i="3" a="1"/>
  <c r="K565" i="3" s="1"/>
  <c r="K564" i="3" a="1"/>
  <c r="K564" i="3" s="1"/>
  <c r="K563" i="3" a="1"/>
  <c r="K563" i="3" s="1"/>
  <c r="K562" i="3" a="1"/>
  <c r="K562" i="3" s="1"/>
  <c r="K561" i="3" a="1"/>
  <c r="K561" i="3" s="1"/>
  <c r="K560" i="3" a="1"/>
  <c r="K560" i="3" s="1"/>
  <c r="K559" i="3" a="1"/>
  <c r="K559" i="3" s="1"/>
  <c r="K558" i="3" a="1"/>
  <c r="K558" i="3" s="1"/>
  <c r="K557" i="3" a="1"/>
  <c r="K557" i="3" s="1"/>
  <c r="K556" i="3" a="1"/>
  <c r="K556" i="3" s="1"/>
  <c r="K555" i="3" a="1"/>
  <c r="K555" i="3" s="1"/>
  <c r="K554" i="3" a="1"/>
  <c r="K554" i="3" s="1"/>
  <c r="K553" i="3" a="1"/>
  <c r="K553" i="3" s="1"/>
  <c r="K552" i="3" a="1"/>
  <c r="K552" i="3" s="1"/>
  <c r="K551" i="3"/>
  <c r="K551" i="3" a="1"/>
  <c r="K550" i="3" a="1"/>
  <c r="K550" i="3" s="1"/>
  <c r="K549" i="3" a="1"/>
  <c r="K549" i="3" s="1"/>
  <c r="K548" i="3" a="1"/>
  <c r="K548" i="3" s="1"/>
  <c r="K547" i="3" a="1"/>
  <c r="K547" i="3" s="1"/>
  <c r="K546" i="3" a="1"/>
  <c r="K546" i="3" s="1"/>
  <c r="K545" i="3" a="1"/>
  <c r="K545" i="3" s="1"/>
  <c r="K544" i="3" a="1"/>
  <c r="K544" i="3" s="1"/>
  <c r="K543" i="3" a="1"/>
  <c r="K543" i="3" s="1"/>
  <c r="K542" i="3"/>
  <c r="K542" i="3" a="1"/>
  <c r="K541" i="3" a="1"/>
  <c r="K541" i="3" s="1"/>
  <c r="K540" i="3" a="1"/>
  <c r="K540" i="3" s="1"/>
  <c r="K539" i="3"/>
  <c r="K539" i="3" a="1"/>
  <c r="K538" i="3" a="1"/>
  <c r="K538" i="3" s="1"/>
  <c r="K537" i="3" a="1"/>
  <c r="K537" i="3" s="1"/>
  <c r="K536" i="3"/>
  <c r="K536" i="3" a="1"/>
  <c r="K535" i="3" a="1"/>
  <c r="K535" i="3" s="1"/>
  <c r="K534" i="3" a="1"/>
  <c r="K534" i="3" s="1"/>
  <c r="K533" i="3" a="1"/>
  <c r="K533" i="3" s="1"/>
  <c r="K532" i="3" a="1"/>
  <c r="K532" i="3" s="1"/>
  <c r="K531" i="3" a="1"/>
  <c r="K531" i="3" s="1"/>
  <c r="K530" i="3" a="1"/>
  <c r="K530" i="3" s="1"/>
  <c r="K529" i="3" a="1"/>
  <c r="K529" i="3" s="1"/>
  <c r="K528" i="3" a="1"/>
  <c r="K528" i="3" s="1"/>
  <c r="K527" i="3" a="1"/>
  <c r="K527" i="3" s="1"/>
  <c r="K526" i="3" a="1"/>
  <c r="K526" i="3" s="1"/>
  <c r="K525" i="3" a="1"/>
  <c r="K525" i="3" s="1"/>
  <c r="K524" i="3" a="1"/>
  <c r="K524" i="3" s="1"/>
  <c r="K523" i="3" a="1"/>
  <c r="K523" i="3" s="1"/>
  <c r="K522" i="3" a="1"/>
  <c r="K522" i="3" s="1"/>
  <c r="K521" i="3" a="1"/>
  <c r="K521" i="3" s="1"/>
  <c r="K520" i="3" a="1"/>
  <c r="K520" i="3" s="1"/>
  <c r="K519" i="3" a="1"/>
  <c r="K519" i="3" s="1"/>
  <c r="K518" i="3" a="1"/>
  <c r="K518" i="3" s="1"/>
  <c r="K517" i="3" a="1"/>
  <c r="K517" i="3" s="1"/>
  <c r="K516" i="3" a="1"/>
  <c r="K516" i="3" s="1"/>
  <c r="K515" i="3" a="1"/>
  <c r="K515" i="3" s="1"/>
  <c r="K514" i="3" a="1"/>
  <c r="K514" i="3" s="1"/>
  <c r="K513" i="3" a="1"/>
  <c r="K513" i="3" s="1"/>
  <c r="K512" i="3" a="1"/>
  <c r="K512" i="3" s="1"/>
  <c r="K511" i="3" a="1"/>
  <c r="K511" i="3" s="1"/>
  <c r="K510" i="3" a="1"/>
  <c r="K510" i="3" s="1"/>
  <c r="K509" i="3" a="1"/>
  <c r="K509" i="3" s="1"/>
  <c r="K508" i="3" a="1"/>
  <c r="K508" i="3" s="1"/>
  <c r="K507" i="3" a="1"/>
  <c r="K507" i="3" s="1"/>
  <c r="K506" i="3" a="1"/>
  <c r="K506" i="3" s="1"/>
  <c r="K505" i="3" a="1"/>
  <c r="K505" i="3" s="1"/>
  <c r="K504" i="3" a="1"/>
  <c r="K504" i="3" s="1"/>
  <c r="K503" i="3" a="1"/>
  <c r="K503" i="3" s="1"/>
  <c r="K502" i="3" a="1"/>
  <c r="K502" i="3" s="1"/>
  <c r="K501" i="3" a="1"/>
  <c r="K501" i="3" s="1"/>
  <c r="K500" i="3" a="1"/>
  <c r="K500" i="3" s="1"/>
  <c r="K499" i="3" a="1"/>
  <c r="K499" i="3" s="1"/>
  <c r="K498" i="3" a="1"/>
  <c r="K498" i="3" s="1"/>
  <c r="K497" i="3" a="1"/>
  <c r="K497" i="3" s="1"/>
  <c r="K496" i="3" a="1"/>
  <c r="K496" i="3" s="1"/>
  <c r="K495" i="3" a="1"/>
  <c r="K495" i="3" s="1"/>
  <c r="K494" i="3" a="1"/>
  <c r="K494" i="3" s="1"/>
  <c r="K493" i="3" a="1"/>
  <c r="K493" i="3" s="1"/>
  <c r="K492" i="3" a="1"/>
  <c r="K492" i="3" s="1"/>
  <c r="K491" i="3" a="1"/>
  <c r="K491" i="3" s="1"/>
  <c r="K490" i="3" a="1"/>
  <c r="K490" i="3" s="1"/>
  <c r="K489" i="3" a="1"/>
  <c r="K489" i="3" s="1"/>
  <c r="K488" i="3" a="1"/>
  <c r="K488" i="3" s="1"/>
  <c r="K487" i="3" a="1"/>
  <c r="K487" i="3" s="1"/>
  <c r="K486" i="3" a="1"/>
  <c r="K486" i="3" s="1"/>
  <c r="K485" i="3" a="1"/>
  <c r="K485" i="3" s="1"/>
  <c r="K484" i="3" a="1"/>
  <c r="K484" i="3" s="1"/>
  <c r="K483" i="3" a="1"/>
  <c r="K483" i="3" s="1"/>
  <c r="K482" i="3" a="1"/>
  <c r="K482" i="3" s="1"/>
  <c r="K481" i="3" a="1"/>
  <c r="K481" i="3" s="1"/>
  <c r="K480" i="3" a="1"/>
  <c r="K480" i="3" s="1"/>
  <c r="K479" i="3" a="1"/>
  <c r="K479" i="3" s="1"/>
  <c r="K478" i="3" a="1"/>
  <c r="K478" i="3" s="1"/>
  <c r="K477" i="3" a="1"/>
  <c r="K477" i="3" s="1"/>
  <c r="K476" i="3" a="1"/>
  <c r="K476" i="3" s="1"/>
  <c r="K475" i="3" a="1"/>
  <c r="K475" i="3" s="1"/>
  <c r="K474" i="3" a="1"/>
  <c r="K474" i="3" s="1"/>
  <c r="K473" i="3" a="1"/>
  <c r="K473" i="3" s="1"/>
  <c r="K472" i="3" a="1"/>
  <c r="K472" i="3" s="1"/>
  <c r="K471" i="3" a="1"/>
  <c r="K471" i="3" s="1"/>
  <c r="K470" i="3" a="1"/>
  <c r="K470" i="3" s="1"/>
  <c r="K469" i="3" a="1"/>
  <c r="K469" i="3" s="1"/>
  <c r="K468" i="3" a="1"/>
  <c r="K468" i="3" s="1"/>
  <c r="K467" i="3" a="1"/>
  <c r="K467" i="3" s="1"/>
  <c r="K466" i="3" a="1"/>
  <c r="K466" i="3" s="1"/>
  <c r="K465" i="3" a="1"/>
  <c r="K465" i="3" s="1"/>
  <c r="K464" i="3" a="1"/>
  <c r="K464" i="3" s="1"/>
  <c r="K463" i="3" a="1"/>
  <c r="K463" i="3" s="1"/>
  <c r="K462" i="3" a="1"/>
  <c r="K462" i="3" s="1"/>
  <c r="K461" i="3" a="1"/>
  <c r="K461" i="3" s="1"/>
  <c r="K460" i="3" a="1"/>
  <c r="K460" i="3" s="1"/>
  <c r="K459" i="3" a="1"/>
  <c r="K459" i="3" s="1"/>
  <c r="K458" i="3" a="1"/>
  <c r="K458" i="3" s="1"/>
  <c r="K457" i="3" a="1"/>
  <c r="K457" i="3" s="1"/>
  <c r="K456" i="3" a="1"/>
  <c r="K456" i="3" s="1"/>
  <c r="K455" i="3" a="1"/>
  <c r="K455" i="3" s="1"/>
  <c r="K454" i="3" a="1"/>
  <c r="K454" i="3" s="1"/>
  <c r="K453" i="3" a="1"/>
  <c r="K453" i="3" s="1"/>
  <c r="K452" i="3" a="1"/>
  <c r="K452" i="3" s="1"/>
  <c r="K451" i="3" a="1"/>
  <c r="K451" i="3" s="1"/>
  <c r="K450" i="3" a="1"/>
  <c r="K450" i="3" s="1"/>
  <c r="K449" i="3" a="1"/>
  <c r="K449" i="3" s="1"/>
  <c r="K448" i="3" a="1"/>
  <c r="K448" i="3" s="1"/>
  <c r="K447" i="3" a="1"/>
  <c r="K447" i="3" s="1"/>
  <c r="K446" i="3" a="1"/>
  <c r="K446" i="3" s="1"/>
  <c r="K445" i="3" a="1"/>
  <c r="K445" i="3" s="1"/>
  <c r="K444" i="3" a="1"/>
  <c r="K444" i="3" s="1"/>
  <c r="K443" i="3" a="1"/>
  <c r="K443" i="3" s="1"/>
  <c r="K442" i="3" a="1"/>
  <c r="K442" i="3" s="1"/>
  <c r="K441" i="3" a="1"/>
  <c r="K441" i="3" s="1"/>
  <c r="K440" i="3" a="1"/>
  <c r="K440" i="3" s="1"/>
  <c r="K439" i="3" a="1"/>
  <c r="K439" i="3" s="1"/>
  <c r="K438" i="3" a="1"/>
  <c r="K438" i="3" s="1"/>
  <c r="K437" i="3" a="1"/>
  <c r="K437" i="3" s="1"/>
  <c r="K436" i="3" a="1"/>
  <c r="K436" i="3" s="1"/>
  <c r="K435" i="3" a="1"/>
  <c r="K435" i="3" s="1"/>
  <c r="K434" i="3" a="1"/>
  <c r="K434" i="3" s="1"/>
  <c r="K433" i="3" a="1"/>
  <c r="K433" i="3" s="1"/>
  <c r="K432" i="3" a="1"/>
  <c r="K432" i="3" s="1"/>
  <c r="K431" i="3" a="1"/>
  <c r="K431" i="3" s="1"/>
  <c r="K430" i="3" a="1"/>
  <c r="K430" i="3" s="1"/>
  <c r="K429" i="3" a="1"/>
  <c r="K429" i="3" s="1"/>
  <c r="K428" i="3" a="1"/>
  <c r="K428" i="3" s="1"/>
  <c r="K427" i="3" a="1"/>
  <c r="K427" i="3" s="1"/>
  <c r="K426" i="3" a="1"/>
  <c r="K426" i="3" s="1"/>
  <c r="K425" i="3" a="1"/>
  <c r="K425" i="3" s="1"/>
  <c r="K424" i="3" a="1"/>
  <c r="K424" i="3" s="1"/>
  <c r="K423" i="3" a="1"/>
  <c r="K423" i="3" s="1"/>
  <c r="K422" i="3" a="1"/>
  <c r="K422" i="3" s="1"/>
  <c r="K421" i="3" a="1"/>
  <c r="K421" i="3" s="1"/>
  <c r="K420" i="3" a="1"/>
  <c r="K420" i="3" s="1"/>
  <c r="K419" i="3" a="1"/>
  <c r="K419" i="3" s="1"/>
  <c r="K418" i="3" a="1"/>
  <c r="K418" i="3" s="1"/>
  <c r="K417" i="3" a="1"/>
  <c r="K417" i="3" s="1"/>
  <c r="K416" i="3" a="1"/>
  <c r="K416" i="3" s="1"/>
  <c r="K415" i="3" a="1"/>
  <c r="K415" i="3" s="1"/>
  <c r="K414" i="3" a="1"/>
  <c r="K414" i="3" s="1"/>
  <c r="K413" i="3" a="1"/>
  <c r="K413" i="3" s="1"/>
  <c r="K412" i="3" a="1"/>
  <c r="K412" i="3" s="1"/>
  <c r="K411" i="3"/>
  <c r="K411" i="3" a="1"/>
  <c r="K410" i="3" a="1"/>
  <c r="K410" i="3" s="1"/>
  <c r="K409" i="3" a="1"/>
  <c r="K409" i="3" s="1"/>
  <c r="K408" i="3" a="1"/>
  <c r="K408" i="3" s="1"/>
  <c r="K407" i="3" a="1"/>
  <c r="K407" i="3" s="1"/>
  <c r="K406" i="3" a="1"/>
  <c r="K406" i="3" s="1"/>
  <c r="K405" i="3" a="1"/>
  <c r="K405" i="3" s="1"/>
  <c r="K404" i="3" a="1"/>
  <c r="K404" i="3" s="1"/>
  <c r="K403" i="3" a="1"/>
  <c r="K403" i="3" s="1"/>
  <c r="K402" i="3" a="1"/>
  <c r="K402" i="3" s="1"/>
  <c r="K401" i="3" a="1"/>
  <c r="K401" i="3" s="1"/>
  <c r="K400" i="3" a="1"/>
  <c r="K400" i="3" s="1"/>
  <c r="K399" i="3" a="1"/>
  <c r="K399" i="3" s="1"/>
  <c r="K398" i="3" a="1"/>
  <c r="K398" i="3" s="1"/>
  <c r="K397" i="3" a="1"/>
  <c r="K397" i="3" s="1"/>
  <c r="K396" i="3" a="1"/>
  <c r="K396" i="3" s="1"/>
  <c r="K395" i="3" a="1"/>
  <c r="K395" i="3" s="1"/>
  <c r="K394" i="3" a="1"/>
  <c r="K394" i="3" s="1"/>
  <c r="K393" i="3" a="1"/>
  <c r="K393" i="3" s="1"/>
  <c r="K392" i="3" a="1"/>
  <c r="K392" i="3" s="1"/>
  <c r="K391" i="3" a="1"/>
  <c r="K391" i="3" s="1"/>
  <c r="K390" i="3" a="1"/>
  <c r="K390" i="3" s="1"/>
  <c r="K389" i="3" a="1"/>
  <c r="K389" i="3" s="1"/>
  <c r="K388" i="3"/>
  <c r="K388" i="3" a="1"/>
  <c r="K387" i="3" a="1"/>
  <c r="K387" i="3" s="1"/>
  <c r="K386" i="3" a="1"/>
  <c r="K386" i="3" s="1"/>
  <c r="K385" i="3" a="1"/>
  <c r="K385" i="3" s="1"/>
  <c r="K384" i="3" a="1"/>
  <c r="K384" i="3" s="1"/>
  <c r="K383" i="3" a="1"/>
  <c r="K383" i="3" s="1"/>
  <c r="K382" i="3"/>
  <c r="K382" i="3" a="1"/>
  <c r="K381" i="3" a="1"/>
  <c r="K381" i="3" s="1"/>
  <c r="K380" i="3" a="1"/>
  <c r="K380" i="3" s="1"/>
  <c r="K379" i="3" a="1"/>
  <c r="K379" i="3" s="1"/>
  <c r="K378" i="3" a="1"/>
  <c r="K378" i="3" s="1"/>
  <c r="K377" i="3" a="1"/>
  <c r="K377" i="3" s="1"/>
  <c r="K376" i="3" a="1"/>
  <c r="K376" i="3" s="1"/>
  <c r="K375" i="3" a="1"/>
  <c r="K375" i="3" s="1"/>
  <c r="K374" i="3" a="1"/>
  <c r="K374" i="3" s="1"/>
  <c r="K373" i="3" a="1"/>
  <c r="K373" i="3" s="1"/>
  <c r="K372" i="3" a="1"/>
  <c r="K372" i="3" s="1"/>
  <c r="K371" i="3" a="1"/>
  <c r="K371" i="3" s="1"/>
  <c r="K370" i="3" a="1"/>
  <c r="K370" i="3" s="1"/>
  <c r="K369" i="3" a="1"/>
  <c r="K369" i="3" s="1"/>
  <c r="K368" i="3" a="1"/>
  <c r="K368" i="3" s="1"/>
  <c r="K367" i="3" a="1"/>
  <c r="K367" i="3" s="1"/>
  <c r="K366" i="3" a="1"/>
  <c r="K366" i="3" s="1"/>
  <c r="K365" i="3" a="1"/>
  <c r="K365" i="3" s="1"/>
  <c r="K364" i="3" a="1"/>
  <c r="K364" i="3" s="1"/>
  <c r="K363" i="3" a="1"/>
  <c r="K363" i="3" s="1"/>
  <c r="K362" i="3" a="1"/>
  <c r="K362" i="3" s="1"/>
  <c r="K361" i="3" a="1"/>
  <c r="K361" i="3" s="1"/>
  <c r="K360" i="3" a="1"/>
  <c r="K360" i="3" s="1"/>
  <c r="K359" i="3" a="1"/>
  <c r="K359" i="3" s="1"/>
  <c r="K358" i="3" a="1"/>
  <c r="K358" i="3" s="1"/>
  <c r="K357" i="3" a="1"/>
  <c r="K357" i="3" s="1"/>
  <c r="K356" i="3" a="1"/>
  <c r="K356" i="3" s="1"/>
  <c r="K355" i="3" a="1"/>
  <c r="K355" i="3" s="1"/>
  <c r="K354" i="3" a="1"/>
  <c r="K354" i="3" s="1"/>
  <c r="K353" i="3" a="1"/>
  <c r="K353" i="3" s="1"/>
  <c r="K352" i="3" a="1"/>
  <c r="K352" i="3" s="1"/>
  <c r="K351" i="3" a="1"/>
  <c r="K351" i="3" s="1"/>
  <c r="K350" i="3" a="1"/>
  <c r="K350" i="3" s="1"/>
  <c r="K349" i="3" a="1"/>
  <c r="K349" i="3" s="1"/>
  <c r="K348" i="3" a="1"/>
  <c r="K348" i="3" s="1"/>
  <c r="K347" i="3" a="1"/>
  <c r="K347" i="3" s="1"/>
  <c r="K346" i="3" a="1"/>
  <c r="K346" i="3" s="1"/>
  <c r="K345" i="3" a="1"/>
  <c r="K345" i="3" s="1"/>
  <c r="K344" i="3" a="1"/>
  <c r="K344" i="3" s="1"/>
  <c r="K343" i="3" a="1"/>
  <c r="K343" i="3" s="1"/>
  <c r="K342" i="3" a="1"/>
  <c r="K342" i="3" s="1"/>
  <c r="K341" i="3" a="1"/>
  <c r="K341" i="3" s="1"/>
  <c r="K340" i="3" a="1"/>
  <c r="K340" i="3" s="1"/>
  <c r="K339" i="3" a="1"/>
  <c r="K339" i="3" s="1"/>
  <c r="K338" i="3" a="1"/>
  <c r="K338" i="3" s="1"/>
  <c r="K337" i="3" a="1"/>
  <c r="K337" i="3" s="1"/>
  <c r="K336" i="3" a="1"/>
  <c r="K336" i="3" s="1"/>
  <c r="K335" i="3" a="1"/>
  <c r="K335" i="3" s="1"/>
  <c r="K334" i="3" a="1"/>
  <c r="K334" i="3" s="1"/>
  <c r="K333" i="3" a="1"/>
  <c r="K333" i="3" s="1"/>
  <c r="K332" i="3" a="1"/>
  <c r="K332" i="3" s="1"/>
  <c r="K331" i="3" a="1"/>
  <c r="K331" i="3" s="1"/>
  <c r="K330" i="3" a="1"/>
  <c r="K330" i="3" s="1"/>
  <c r="K329" i="3" a="1"/>
  <c r="K329" i="3" s="1"/>
  <c r="K328" i="3" a="1"/>
  <c r="K328" i="3" s="1"/>
  <c r="K327" i="3" a="1"/>
  <c r="K327" i="3" s="1"/>
  <c r="K326" i="3" a="1"/>
  <c r="K326" i="3" s="1"/>
  <c r="K325" i="3" a="1"/>
  <c r="K325" i="3" s="1"/>
  <c r="K324" i="3"/>
  <c r="K324" i="3" a="1"/>
  <c r="K323" i="3" a="1"/>
  <c r="K323" i="3" s="1"/>
  <c r="K322" i="3" a="1"/>
  <c r="K322" i="3" s="1"/>
  <c r="K321" i="3" a="1"/>
  <c r="K321" i="3" s="1"/>
  <c r="K320" i="3" a="1"/>
  <c r="K320" i="3" s="1"/>
  <c r="K319" i="3" a="1"/>
  <c r="K319" i="3" s="1"/>
  <c r="K318" i="3" a="1"/>
  <c r="K318" i="3" s="1"/>
  <c r="K317" i="3" a="1"/>
  <c r="K317" i="3" s="1"/>
  <c r="K316" i="3" a="1"/>
  <c r="K316" i="3" s="1"/>
  <c r="K315" i="3" a="1"/>
  <c r="K315" i="3" s="1"/>
  <c r="K314" i="3" a="1"/>
  <c r="K314" i="3" s="1"/>
  <c r="K313" i="3" a="1"/>
  <c r="K313" i="3" s="1"/>
  <c r="K312" i="3" a="1"/>
  <c r="K312" i="3" s="1"/>
  <c r="K311" i="3" a="1"/>
  <c r="K311" i="3" s="1"/>
  <c r="K310" i="3" a="1"/>
  <c r="K310" i="3" s="1"/>
  <c r="K309" i="3" a="1"/>
  <c r="K309" i="3" s="1"/>
  <c r="K308" i="3" a="1"/>
  <c r="K308" i="3" s="1"/>
  <c r="K307" i="3" a="1"/>
  <c r="K307" i="3" s="1"/>
  <c r="K306" i="3" a="1"/>
  <c r="K306" i="3" s="1"/>
  <c r="K305" i="3" a="1"/>
  <c r="K305" i="3" s="1"/>
  <c r="K304" i="3" a="1"/>
  <c r="K304" i="3" s="1"/>
  <c r="K303" i="3" a="1"/>
  <c r="K303" i="3" s="1"/>
  <c r="K302" i="3" a="1"/>
  <c r="K302" i="3" s="1"/>
  <c r="K301" i="3" a="1"/>
  <c r="K301" i="3" s="1"/>
  <c r="K300" i="3" a="1"/>
  <c r="K300" i="3" s="1"/>
  <c r="K299" i="3" a="1"/>
  <c r="K299" i="3" s="1"/>
  <c r="K298" i="3" a="1"/>
  <c r="K298" i="3" s="1"/>
  <c r="K297" i="3" a="1"/>
  <c r="K297" i="3" s="1"/>
  <c r="K296" i="3" a="1"/>
  <c r="K296" i="3" s="1"/>
  <c r="K295" i="3" a="1"/>
  <c r="K295" i="3" s="1"/>
  <c r="K294" i="3"/>
  <c r="K294" i="3" a="1"/>
  <c r="K293" i="3" a="1"/>
  <c r="K293" i="3" s="1"/>
  <c r="K292" i="3" a="1"/>
  <c r="K292" i="3" s="1"/>
  <c r="K291" i="3" a="1"/>
  <c r="K291" i="3" s="1"/>
  <c r="K290" i="3" a="1"/>
  <c r="K290" i="3" s="1"/>
  <c r="K289" i="3" a="1"/>
  <c r="K289" i="3" s="1"/>
  <c r="K288" i="3" a="1"/>
  <c r="K288" i="3" s="1"/>
  <c r="K287" i="3" a="1"/>
  <c r="K287" i="3" s="1"/>
  <c r="K286" i="3" a="1"/>
  <c r="K286" i="3" s="1"/>
  <c r="K285" i="3" a="1"/>
  <c r="K285" i="3" s="1"/>
  <c r="K284" i="3" a="1"/>
  <c r="K284" i="3" s="1"/>
  <c r="K283" i="3" a="1"/>
  <c r="K283" i="3" s="1"/>
  <c r="K282" i="3" a="1"/>
  <c r="K282" i="3" s="1"/>
  <c r="K281" i="3" a="1"/>
  <c r="K281" i="3" s="1"/>
  <c r="K280" i="3" a="1"/>
  <c r="K280" i="3" s="1"/>
  <c r="K279" i="3" a="1"/>
  <c r="K279" i="3" s="1"/>
  <c r="K278" i="3" a="1"/>
  <c r="K278" i="3" s="1"/>
  <c r="K277" i="3" a="1"/>
  <c r="K277" i="3" s="1"/>
  <c r="K276" i="3" a="1"/>
  <c r="K276" i="3" s="1"/>
  <c r="K275" i="3" a="1"/>
  <c r="K275" i="3" s="1"/>
  <c r="K274" i="3" a="1"/>
  <c r="K274" i="3" s="1"/>
  <c r="K273" i="3" a="1"/>
  <c r="K273" i="3" s="1"/>
  <c r="K272" i="3"/>
  <c r="K272" i="3" a="1"/>
  <c r="K271" i="3" a="1"/>
  <c r="K271" i="3" s="1"/>
  <c r="K270" i="3" a="1"/>
  <c r="K270" i="3" s="1"/>
  <c r="K269" i="3" a="1"/>
  <c r="K269" i="3" s="1"/>
  <c r="K268" i="3" a="1"/>
  <c r="K268" i="3" s="1"/>
  <c r="K267" i="3" a="1"/>
  <c r="K267" i="3" s="1"/>
  <c r="K266" i="3" a="1"/>
  <c r="K266" i="3" s="1"/>
  <c r="K265" i="3" a="1"/>
  <c r="K265" i="3" s="1"/>
  <c r="K264" i="3" a="1"/>
  <c r="K264" i="3" s="1"/>
  <c r="K263" i="3" a="1"/>
  <c r="K263" i="3" s="1"/>
  <c r="K262" i="3" a="1"/>
  <c r="K262" i="3" s="1"/>
  <c r="K261" i="3" a="1"/>
  <c r="K261" i="3" s="1"/>
  <c r="K260" i="3"/>
  <c r="K260" i="3" a="1"/>
  <c r="K259" i="3" a="1"/>
  <c r="K259" i="3" s="1"/>
  <c r="K258" i="3" a="1"/>
  <c r="K258" i="3" s="1"/>
  <c r="K257" i="3" a="1"/>
  <c r="K257" i="3" s="1"/>
  <c r="K256" i="3" a="1"/>
  <c r="K256" i="3" s="1"/>
  <c r="K255" i="3" a="1"/>
  <c r="K255" i="3" s="1"/>
  <c r="K254" i="3" a="1"/>
  <c r="K254" i="3" s="1"/>
  <c r="K253" i="3" a="1"/>
  <c r="K253" i="3" s="1"/>
  <c r="K252" i="3" a="1"/>
  <c r="K252" i="3" s="1"/>
  <c r="K251" i="3" a="1"/>
  <c r="K251" i="3" s="1"/>
  <c r="K250" i="3" a="1"/>
  <c r="K250" i="3" s="1"/>
  <c r="K249" i="3" a="1"/>
  <c r="K249" i="3" s="1"/>
  <c r="K248" i="3" a="1"/>
  <c r="K248" i="3" s="1"/>
  <c r="K247" i="3" a="1"/>
  <c r="K247" i="3" s="1"/>
  <c r="K246" i="3" a="1"/>
  <c r="K246" i="3" s="1"/>
  <c r="K245" i="3" a="1"/>
  <c r="K245" i="3" s="1"/>
  <c r="K244" i="3" a="1"/>
  <c r="K244" i="3" s="1"/>
  <c r="K243" i="3" a="1"/>
  <c r="K243" i="3" s="1"/>
  <c r="K242" i="3" a="1"/>
  <c r="K242" i="3" s="1"/>
  <c r="K241" i="3" a="1"/>
  <c r="K241" i="3" s="1"/>
  <c r="K240" i="3" a="1"/>
  <c r="K240" i="3" s="1"/>
  <c r="K239" i="3" a="1"/>
  <c r="K239" i="3" s="1"/>
  <c r="K238" i="3" a="1"/>
  <c r="K238" i="3" s="1"/>
  <c r="K237" i="3" a="1"/>
  <c r="K237" i="3" s="1"/>
  <c r="K236" i="3" a="1"/>
  <c r="K236" i="3" s="1"/>
  <c r="K235" i="3" a="1"/>
  <c r="K235" i="3" s="1"/>
  <c r="K234" i="3" a="1"/>
  <c r="K234" i="3" s="1"/>
  <c r="K233" i="3" a="1"/>
  <c r="K233" i="3" s="1"/>
  <c r="K232" i="3" a="1"/>
  <c r="K232" i="3" s="1"/>
  <c r="K231" i="3" a="1"/>
  <c r="K231" i="3" s="1"/>
  <c r="K230" i="3" a="1"/>
  <c r="K230" i="3" s="1"/>
  <c r="K229" i="3" a="1"/>
  <c r="K229" i="3" s="1"/>
  <c r="K228" i="3" a="1"/>
  <c r="K228" i="3" s="1"/>
  <c r="K227" i="3" a="1"/>
  <c r="K227" i="3" s="1"/>
  <c r="K226" i="3" a="1"/>
  <c r="K226" i="3" s="1"/>
  <c r="K225" i="3" a="1"/>
  <c r="K225" i="3" s="1"/>
  <c r="K224" i="3" a="1"/>
  <c r="K224" i="3" s="1"/>
  <c r="K223" i="3" a="1"/>
  <c r="K223" i="3" s="1"/>
  <c r="K222" i="3" a="1"/>
  <c r="K222" i="3" s="1"/>
  <c r="K221" i="3" a="1"/>
  <c r="K221" i="3" s="1"/>
  <c r="K220" i="3" a="1"/>
  <c r="K220" i="3" s="1"/>
  <c r="K219" i="3" a="1"/>
  <c r="K219" i="3" s="1"/>
  <c r="K218" i="3" a="1"/>
  <c r="K218" i="3" s="1"/>
  <c r="K217" i="3" a="1"/>
  <c r="K217" i="3" s="1"/>
  <c r="K216" i="3" a="1"/>
  <c r="K216" i="3" s="1"/>
  <c r="K215" i="3" a="1"/>
  <c r="K215" i="3" s="1"/>
  <c r="K214" i="3" a="1"/>
  <c r="K214" i="3" s="1"/>
  <c r="K213" i="3" a="1"/>
  <c r="K213" i="3" s="1"/>
  <c r="K212" i="3" a="1"/>
  <c r="K212" i="3" s="1"/>
  <c r="K211" i="3" a="1"/>
  <c r="K211" i="3" s="1"/>
  <c r="K210" i="3" a="1"/>
  <c r="K210" i="3" s="1"/>
  <c r="K209" i="3" a="1"/>
  <c r="K209" i="3" s="1"/>
  <c r="K208" i="3" a="1"/>
  <c r="K208" i="3" s="1"/>
  <c r="K207" i="3" a="1"/>
  <c r="K207" i="3" s="1"/>
  <c r="K206" i="3" a="1"/>
  <c r="K206" i="3" s="1"/>
  <c r="K205" i="3" a="1"/>
  <c r="K205" i="3" s="1"/>
  <c r="K204" i="3" a="1"/>
  <c r="K204" i="3" s="1"/>
  <c r="K203" i="3" a="1"/>
  <c r="K203" i="3" s="1"/>
  <c r="K202" i="3" a="1"/>
  <c r="K202" i="3" s="1"/>
  <c r="K201" i="3" a="1"/>
  <c r="K201" i="3" s="1"/>
  <c r="K200" i="3" a="1"/>
  <c r="K200" i="3" s="1"/>
  <c r="K199" i="3" a="1"/>
  <c r="K199" i="3" s="1"/>
  <c r="K198" i="3" a="1"/>
  <c r="K198" i="3" s="1"/>
  <c r="K197" i="3" a="1"/>
  <c r="K197" i="3" s="1"/>
  <c r="K196" i="3" a="1"/>
  <c r="K196" i="3" s="1"/>
  <c r="K195" i="3" a="1"/>
  <c r="K195" i="3" s="1"/>
  <c r="K194" i="3" a="1"/>
  <c r="K194" i="3" s="1"/>
  <c r="K193" i="3" a="1"/>
  <c r="K193" i="3" s="1"/>
  <c r="K192" i="3" a="1"/>
  <c r="K192" i="3" s="1"/>
  <c r="K191" i="3" a="1"/>
  <c r="K191" i="3" s="1"/>
  <c r="K190" i="3" a="1"/>
  <c r="K190" i="3" s="1"/>
  <c r="K189" i="3" a="1"/>
  <c r="K189" i="3" s="1"/>
  <c r="K188" i="3" a="1"/>
  <c r="K188" i="3" s="1"/>
  <c r="K187" i="3" a="1"/>
  <c r="K187" i="3" s="1"/>
  <c r="K186" i="3" a="1"/>
  <c r="K186" i="3" s="1"/>
  <c r="K185" i="3" a="1"/>
  <c r="K185" i="3" s="1"/>
  <c r="K184" i="3" a="1"/>
  <c r="K184" i="3" s="1"/>
  <c r="K183" i="3" a="1"/>
  <c r="K183" i="3" s="1"/>
  <c r="K182" i="3" a="1"/>
  <c r="K182" i="3" s="1"/>
  <c r="K181" i="3" a="1"/>
  <c r="K181" i="3" s="1"/>
  <c r="K180" i="3" a="1"/>
  <c r="K180" i="3" s="1"/>
  <c r="K179" i="3" a="1"/>
  <c r="K179" i="3" s="1"/>
  <c r="K178" i="3" a="1"/>
  <c r="K178" i="3" s="1"/>
  <c r="K177" i="3" a="1"/>
  <c r="K177" i="3" s="1"/>
  <c r="K176" i="3" a="1"/>
  <c r="K176" i="3" s="1"/>
  <c r="K175" i="3" a="1"/>
  <c r="K175" i="3" s="1"/>
  <c r="K174" i="3" a="1"/>
  <c r="K174" i="3" s="1"/>
  <c r="K173" i="3" a="1"/>
  <c r="K173" i="3" s="1"/>
  <c r="K172" i="3" a="1"/>
  <c r="K172" i="3" s="1"/>
  <c r="K171" i="3" a="1"/>
  <c r="K171" i="3" s="1"/>
  <c r="K170" i="3" a="1"/>
  <c r="K170" i="3" s="1"/>
  <c r="K169" i="3" a="1"/>
  <c r="K169" i="3" s="1"/>
  <c r="K168" i="3" a="1"/>
  <c r="K168" i="3" s="1"/>
  <c r="K167" i="3" a="1"/>
  <c r="K167" i="3" s="1"/>
  <c r="K166" i="3"/>
  <c r="K166" i="3" a="1"/>
  <c r="K165" i="3" a="1"/>
  <c r="K165" i="3" s="1"/>
  <c r="K164" i="3" a="1"/>
  <c r="K164" i="3" s="1"/>
  <c r="K163" i="3" a="1"/>
  <c r="K163" i="3" s="1"/>
  <c r="K162" i="3" a="1"/>
  <c r="K162" i="3" s="1"/>
  <c r="K161" i="3" a="1"/>
  <c r="K161" i="3" s="1"/>
  <c r="K160" i="3" a="1"/>
  <c r="K160" i="3" s="1"/>
  <c r="K159" i="3" a="1"/>
  <c r="K159" i="3" s="1"/>
  <c r="K158" i="3"/>
  <c r="K158" i="3" a="1"/>
  <c r="K157" i="3" a="1"/>
  <c r="K157" i="3" s="1"/>
  <c r="K156" i="3" a="1"/>
  <c r="K156" i="3" s="1"/>
  <c r="K155" i="3" a="1"/>
  <c r="K155" i="3" s="1"/>
  <c r="K154" i="3" a="1"/>
  <c r="K154" i="3" s="1"/>
  <c r="K153" i="3" a="1"/>
  <c r="K153" i="3" s="1"/>
  <c r="K152" i="3" a="1"/>
  <c r="K152" i="3" s="1"/>
  <c r="K151" i="3" a="1"/>
  <c r="K151" i="3" s="1"/>
  <c r="K150" i="3" a="1"/>
  <c r="K150" i="3" s="1"/>
  <c r="K149" i="3" a="1"/>
  <c r="K149" i="3" s="1"/>
  <c r="K148" i="3" a="1"/>
  <c r="K148" i="3" s="1"/>
  <c r="K147" i="3" a="1"/>
  <c r="K147" i="3" s="1"/>
  <c r="K146" i="3" a="1"/>
  <c r="K146" i="3" s="1"/>
  <c r="K145" i="3" a="1"/>
  <c r="K145" i="3" s="1"/>
  <c r="K144" i="3" a="1"/>
  <c r="K144" i="3" s="1"/>
  <c r="K143" i="3"/>
  <c r="K143" i="3" a="1"/>
  <c r="K142" i="3" a="1"/>
  <c r="K142" i="3" s="1"/>
  <c r="K141" i="3" a="1"/>
  <c r="K141" i="3" s="1"/>
  <c r="K140" i="3" a="1"/>
  <c r="K140" i="3" s="1"/>
  <c r="K139" i="3" a="1"/>
  <c r="K139" i="3" s="1"/>
  <c r="K138" i="3" a="1"/>
  <c r="K138" i="3" s="1"/>
  <c r="K137" i="3" a="1"/>
  <c r="K137" i="3" s="1"/>
  <c r="K136" i="3" a="1"/>
  <c r="K136" i="3" s="1"/>
  <c r="K135" i="3" a="1"/>
  <c r="K135" i="3" s="1"/>
  <c r="K134" i="3" a="1"/>
  <c r="K134" i="3" s="1"/>
  <c r="K133" i="3" a="1"/>
  <c r="K133" i="3" s="1"/>
  <c r="K132" i="3" a="1"/>
  <c r="K132" i="3" s="1"/>
  <c r="K131" i="3" a="1"/>
  <c r="K131" i="3" s="1"/>
  <c r="K130" i="3" a="1"/>
  <c r="K130" i="3" s="1"/>
  <c r="K129" i="3" a="1"/>
  <c r="K129" i="3" s="1"/>
  <c r="K128" i="3" a="1"/>
  <c r="K128" i="3" s="1"/>
  <c r="K127" i="3" a="1"/>
  <c r="K127" i="3" s="1"/>
  <c r="K126" i="3" a="1"/>
  <c r="K126" i="3" s="1"/>
  <c r="K125" i="3" a="1"/>
  <c r="K125" i="3" s="1"/>
  <c r="K124" i="3" a="1"/>
  <c r="K124" i="3" s="1"/>
  <c r="K123" i="3" a="1"/>
  <c r="K123" i="3" s="1"/>
  <c r="K122" i="3" a="1"/>
  <c r="K122" i="3" s="1"/>
  <c r="K121" i="3" a="1"/>
  <c r="K121" i="3" s="1"/>
  <c r="K120" i="3"/>
  <c r="K120" i="3" a="1"/>
  <c r="K119" i="3" a="1"/>
  <c r="K119" i="3" s="1"/>
  <c r="K118" i="3" a="1"/>
  <c r="K118" i="3" s="1"/>
  <c r="K117" i="3" a="1"/>
  <c r="K117" i="3" s="1"/>
  <c r="K116" i="3" a="1"/>
  <c r="K116" i="3" s="1"/>
  <c r="K115" i="3" a="1"/>
  <c r="K115" i="3" s="1"/>
  <c r="K114" i="3"/>
  <c r="K114" i="3" a="1"/>
  <c r="K113" i="3" a="1"/>
  <c r="K113" i="3" s="1"/>
  <c r="K112" i="3" a="1"/>
  <c r="K112" i="3" s="1"/>
  <c r="K111" i="3" a="1"/>
  <c r="K111" i="3" s="1"/>
  <c r="K110" i="3" a="1"/>
  <c r="K110" i="3" s="1"/>
  <c r="K109" i="3" a="1"/>
  <c r="K109" i="3" s="1"/>
  <c r="K108" i="3" a="1"/>
  <c r="K108" i="3" s="1"/>
  <c r="K107" i="3" a="1"/>
  <c r="K107" i="3" s="1"/>
  <c r="K106" i="3" a="1"/>
  <c r="K106" i="3" s="1"/>
  <c r="K105" i="3" a="1"/>
  <c r="K105" i="3" s="1"/>
  <c r="K104" i="3" a="1"/>
  <c r="K104" i="3" s="1"/>
  <c r="K103" i="3"/>
  <c r="K103" i="3" a="1"/>
  <c r="K102" i="3" a="1"/>
  <c r="K102" i="3" s="1"/>
  <c r="K101" i="3" a="1"/>
  <c r="K101" i="3" s="1"/>
  <c r="K100" i="3" a="1"/>
  <c r="K100" i="3" s="1"/>
  <c r="K99" i="3" a="1"/>
  <c r="K99" i="3" s="1"/>
  <c r="K98" i="3" a="1"/>
  <c r="K98" i="3" s="1"/>
  <c r="K97" i="3" a="1"/>
  <c r="K97" i="3" s="1"/>
  <c r="K96" i="3" a="1"/>
  <c r="K96" i="3" s="1"/>
  <c r="K95" i="3" a="1"/>
  <c r="K95" i="3" s="1"/>
  <c r="K94" i="3" a="1"/>
  <c r="K94" i="3" s="1"/>
  <c r="K93" i="3" a="1"/>
  <c r="K93" i="3" s="1"/>
  <c r="K92" i="3" a="1"/>
  <c r="K92" i="3" s="1"/>
  <c r="K91" i="3"/>
  <c r="K91" i="3" a="1"/>
  <c r="K90" i="3" a="1"/>
  <c r="K90" i="3" s="1"/>
  <c r="K89" i="3" a="1"/>
  <c r="K89" i="3" s="1"/>
  <c r="K88" i="3" a="1"/>
  <c r="K88" i="3" s="1"/>
  <c r="K87" i="3" a="1"/>
  <c r="K87" i="3" s="1"/>
  <c r="K86" i="3" a="1"/>
  <c r="K86" i="3" s="1"/>
  <c r="K85" i="3" a="1"/>
  <c r="K85" i="3" s="1"/>
  <c r="K84" i="3" a="1"/>
  <c r="K84" i="3" s="1"/>
  <c r="K83" i="3" a="1"/>
  <c r="K83" i="3" s="1"/>
  <c r="K82" i="3" a="1"/>
  <c r="K82" i="3" s="1"/>
  <c r="K81" i="3" a="1"/>
  <c r="K81" i="3" s="1"/>
  <c r="K80" i="3" a="1"/>
  <c r="K80" i="3" s="1"/>
  <c r="K79" i="3" a="1"/>
  <c r="K79" i="3" s="1"/>
  <c r="K78" i="3" a="1"/>
  <c r="K78" i="3" s="1"/>
  <c r="K77" i="3" a="1"/>
  <c r="K77" i="3" s="1"/>
  <c r="K76" i="3" a="1"/>
  <c r="K76" i="3" s="1"/>
  <c r="K75" i="3" a="1"/>
  <c r="K75" i="3" s="1"/>
  <c r="K74" i="3" a="1"/>
  <c r="K74" i="3" s="1"/>
  <c r="K73" i="3" a="1"/>
  <c r="K73" i="3" s="1"/>
  <c r="K72" i="3" a="1"/>
  <c r="K72" i="3" s="1"/>
  <c r="K71" i="3" a="1"/>
  <c r="K71" i="3" s="1"/>
  <c r="K70" i="3"/>
  <c r="K70" i="3" a="1"/>
  <c r="K69" i="3" a="1"/>
  <c r="K69" i="3" s="1"/>
  <c r="K68" i="3" a="1"/>
  <c r="K68" i="3" s="1"/>
  <c r="K67" i="3" a="1"/>
  <c r="K67" i="3" s="1"/>
  <c r="K66" i="3" a="1"/>
  <c r="K66" i="3" s="1"/>
  <c r="K65" i="3" a="1"/>
  <c r="K65" i="3" s="1"/>
  <c r="K64" i="3" a="1"/>
  <c r="K64" i="3" s="1"/>
  <c r="K63" i="3" a="1"/>
  <c r="K63" i="3" s="1"/>
  <c r="K62" i="3" a="1"/>
  <c r="K62" i="3" s="1"/>
  <c r="K61" i="3" a="1"/>
  <c r="K61" i="3" s="1"/>
  <c r="K60" i="3" a="1"/>
  <c r="K60" i="3" s="1"/>
  <c r="K59" i="3" a="1"/>
  <c r="K59" i="3" s="1"/>
  <c r="K58" i="3" a="1"/>
  <c r="K58" i="3" s="1"/>
  <c r="K57" i="3" a="1"/>
  <c r="K57" i="3" s="1"/>
  <c r="K56" i="3" a="1"/>
  <c r="K56" i="3" s="1"/>
  <c r="K55" i="3" a="1"/>
  <c r="K55" i="3" s="1"/>
  <c r="K54" i="3" a="1"/>
  <c r="K54" i="3" s="1"/>
  <c r="K53" i="3" a="1"/>
  <c r="K53" i="3" s="1"/>
  <c r="K52" i="3" a="1"/>
  <c r="K52" i="3" s="1"/>
  <c r="K51" i="3" a="1"/>
  <c r="K51" i="3" s="1"/>
  <c r="K50" i="3" a="1"/>
  <c r="K50" i="3" s="1"/>
  <c r="K49" i="3" a="1"/>
  <c r="K49" i="3" s="1"/>
  <c r="K48" i="3" a="1"/>
  <c r="K48" i="3" s="1"/>
  <c r="K47" i="3" a="1"/>
  <c r="K47" i="3" s="1"/>
  <c r="K46" i="3" a="1"/>
  <c r="K46" i="3" s="1"/>
  <c r="K45" i="3" a="1"/>
  <c r="K45" i="3" s="1"/>
  <c r="K44" i="3" a="1"/>
  <c r="K44" i="3" s="1"/>
  <c r="K43" i="3" a="1"/>
  <c r="K43" i="3" s="1"/>
  <c r="K42" i="3" a="1"/>
  <c r="K42" i="3" s="1"/>
  <c r="K41" i="3" a="1"/>
  <c r="K41" i="3" s="1"/>
  <c r="K40" i="3" a="1"/>
  <c r="K40" i="3" s="1"/>
  <c r="K39" i="3" a="1"/>
  <c r="K39" i="3" s="1"/>
  <c r="K38" i="3" a="1"/>
  <c r="K38" i="3" s="1"/>
  <c r="K37" i="3" a="1"/>
  <c r="K37" i="3" s="1"/>
  <c r="K36" i="3" a="1"/>
  <c r="K36" i="3" s="1"/>
  <c r="K35" i="3" a="1"/>
  <c r="K35" i="3" s="1"/>
  <c r="K34" i="3" a="1"/>
  <c r="K34" i="3" s="1"/>
  <c r="K33" i="3" a="1"/>
  <c r="K33" i="3" s="1"/>
  <c r="K32" i="3" a="1"/>
  <c r="K32" i="3" s="1"/>
  <c r="K31" i="3" a="1"/>
  <c r="K31" i="3" s="1"/>
  <c r="K30" i="3" a="1"/>
  <c r="K30" i="3" s="1"/>
  <c r="K29" i="3" a="1"/>
  <c r="K29" i="3" s="1"/>
  <c r="K28" i="3" a="1"/>
  <c r="K28" i="3" s="1"/>
  <c r="K27" i="3" a="1"/>
  <c r="K27" i="3" s="1"/>
  <c r="K26" i="3" a="1"/>
  <c r="K26" i="3" s="1"/>
  <c r="K25" i="3" a="1"/>
  <c r="K25" i="3" s="1"/>
  <c r="K24" i="3" a="1"/>
  <c r="K24" i="3" s="1"/>
  <c r="K23" i="3" a="1"/>
  <c r="K23" i="3" s="1"/>
  <c r="K22" i="3" a="1"/>
  <c r="K22" i="3" s="1"/>
  <c r="K21" i="3" a="1"/>
  <c r="K21" i="3" s="1"/>
  <c r="K20" i="3" a="1"/>
  <c r="K20" i="3" s="1"/>
  <c r="K19" i="3" a="1"/>
  <c r="K19" i="3" s="1"/>
  <c r="K18" i="3" a="1"/>
  <c r="K18" i="3" s="1"/>
  <c r="K17" i="3" a="1"/>
  <c r="K17" i="3" s="1"/>
  <c r="K16" i="3" a="1"/>
  <c r="K16" i="3" s="1"/>
  <c r="K15" i="3" a="1"/>
  <c r="K15" i="3" s="1"/>
  <c r="K14" i="3" a="1"/>
  <c r="K14" i="3" s="1"/>
  <c r="K13" i="3" a="1"/>
  <c r="K13" i="3" s="1"/>
  <c r="K12" i="3" a="1"/>
  <c r="K12" i="3" s="1"/>
  <c r="K11" i="3" a="1"/>
  <c r="K11" i="3" s="1"/>
  <c r="K10" i="3" a="1"/>
  <c r="K10" i="3" s="1"/>
  <c r="K9" i="3" a="1"/>
  <c r="K9" i="3" s="1"/>
  <c r="K8" i="3" a="1"/>
  <c r="K8" i="3" s="1"/>
  <c r="K7" i="3" a="1"/>
  <c r="K7" i="3" s="1"/>
  <c r="K6" i="3" a="1"/>
  <c r="K6" i="3" s="1"/>
  <c r="K5" i="3" a="1"/>
  <c r="K5" i="3" s="1"/>
  <c r="K4" i="3" a="1"/>
  <c r="K4" i="3" s="1"/>
  <c r="K3" i="3" a="1"/>
  <c r="K3" i="3" s="1"/>
  <c r="K2" i="3" a="1"/>
  <c r="K2" i="3" s="1"/>
  <c r="M11" i="8" l="1" a="1"/>
  <c r="M11" i="8" s="1"/>
  <c r="R5" i="11"/>
  <c r="Q5" i="11"/>
  <c r="Q4" i="11"/>
  <c r="R4" i="11"/>
  <c r="R3" i="11"/>
  <c r="Q3" i="11"/>
  <c r="M9" i="8" a="1"/>
  <c r="M9" i="8" s="1"/>
  <c r="M2" i="8" a="1"/>
  <c r="M2" i="8" s="1"/>
  <c r="M3" i="8" a="1"/>
  <c r="M3" i="8" s="1"/>
  <c r="M34" i="8" a="1"/>
  <c r="M34" i="8" s="1"/>
  <c r="M26" i="8" a="1"/>
  <c r="M26" i="8" s="1"/>
  <c r="M18" i="8" a="1"/>
  <c r="M18" i="8" s="1"/>
  <c r="M10" i="8" a="1"/>
  <c r="M10" i="8" s="1"/>
  <c r="M33" i="8" a="1"/>
  <c r="M33" i="8" s="1"/>
  <c r="M25" i="8" a="1"/>
  <c r="M25" i="8" s="1"/>
  <c r="M17" i="8" a="1"/>
  <c r="M17" i="8" s="1"/>
  <c r="M32" i="8" a="1"/>
  <c r="M32" i="8" s="1"/>
  <c r="M24" i="8" a="1"/>
  <c r="M24" i="8" s="1"/>
  <c r="M16" i="8" a="1"/>
  <c r="M16" i="8" s="1"/>
  <c r="M8" i="8" a="1"/>
  <c r="M8" i="8" s="1"/>
  <c r="M31" i="8" a="1"/>
  <c r="M31" i="8" s="1"/>
  <c r="M23" i="8" a="1"/>
  <c r="M23" i="8" s="1"/>
  <c r="M15" i="8" a="1"/>
  <c r="M15" i="8" s="1"/>
  <c r="M7" i="8" a="1"/>
  <c r="M7" i="8" s="1"/>
  <c r="M30" i="8" a="1"/>
  <c r="M30" i="8" s="1"/>
  <c r="M22" i="8" a="1"/>
  <c r="M22" i="8" s="1"/>
  <c r="M14" i="8" a="1"/>
  <c r="M14" i="8" s="1"/>
  <c r="M6" i="8" a="1"/>
  <c r="M6" i="8" s="1"/>
  <c r="M37" i="8" a="1"/>
  <c r="M37" i="8" s="1"/>
  <c r="M29" i="8" a="1"/>
  <c r="M29" i="8" s="1"/>
  <c r="M21" i="8" a="1"/>
  <c r="M21" i="8" s="1"/>
  <c r="M13" i="8" a="1"/>
  <c r="M13" i="8" s="1"/>
  <c r="M5" i="8" a="1"/>
  <c r="M5" i="8" s="1"/>
  <c r="M36" i="8" a="1"/>
  <c r="M36" i="8" s="1"/>
  <c r="M28" i="8" a="1"/>
  <c r="M28" i="8" s="1"/>
  <c r="M20" i="8" a="1"/>
  <c r="M20" i="8" s="1"/>
  <c r="M12" i="8" a="1"/>
  <c r="M12" i="8" s="1"/>
  <c r="M4" i="8" a="1"/>
  <c r="M4" i="8" s="1"/>
  <c r="M35" i="8" a="1"/>
  <c r="M35" i="8" s="1"/>
  <c r="M27" i="8" a="1"/>
  <c r="M27" i="8" s="1"/>
  <c r="M19" i="8" a="1"/>
  <c r="M19" i="8" s="1"/>
  <c r="M10" i="11" l="1"/>
  <c r="M7" i="11"/>
  <c r="M3" i="11"/>
  <c r="M23" i="11"/>
  <c r="M31" i="11"/>
  <c r="M16" i="11"/>
  <c r="M24" i="11"/>
  <c r="M32" i="11"/>
  <c r="M8" i="11"/>
  <c r="M17" i="11"/>
  <c r="M25" i="11"/>
  <c r="M33" i="11"/>
  <c r="M9" i="11"/>
  <c r="M18" i="11"/>
  <c r="M26" i="11"/>
  <c r="M34" i="11"/>
  <c r="M6" i="11"/>
  <c r="M11" i="11"/>
  <c r="M2" i="11"/>
  <c r="M14" i="11"/>
  <c r="M27" i="11"/>
  <c r="M5" i="11"/>
  <c r="M22" i="11"/>
  <c r="M4" i="11"/>
  <c r="M13" i="11"/>
  <c r="M30" i="11"/>
  <c r="M12" i="11"/>
  <c r="M21" i="11"/>
  <c r="M15" i="11"/>
  <c r="M20" i="11"/>
  <c r="M29" i="11"/>
  <c r="M35" i="11"/>
  <c r="M28" i="11"/>
  <c r="M37" i="11"/>
  <c r="M19" i="11"/>
  <c r="M36" i="11"/>
  <c r="S17" i="11" l="1"/>
  <c r="S16" i="11"/>
  <c r="S19" i="11"/>
  <c r="R17" i="11"/>
  <c r="R18" i="11"/>
  <c r="R16" i="11"/>
  <c r="R19" i="11"/>
  <c r="S18" i="11"/>
  <c r="Q17" i="11"/>
  <c r="Q18" i="11"/>
  <c r="Q16" i="11"/>
  <c r="Q19" i="1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<sst xmlns="http://schemas.openxmlformats.org/spreadsheetml/2006/main" count="4482" uniqueCount="1120">
  <si>
    <t>Product_ID</t>
  </si>
  <si>
    <t>Product_Name</t>
  </si>
  <si>
    <t>Supplier_Region</t>
  </si>
  <si>
    <t>Lead_Time_Days</t>
  </si>
  <si>
    <t>Order_Volume_Units</t>
  </si>
  <si>
    <t>Cost_per_Unit</t>
  </si>
  <si>
    <t>Supply_Risk_Score</t>
  </si>
  <si>
    <t>Profit_Impact_Score</t>
  </si>
  <si>
    <t>Environmental_Impact</t>
  </si>
  <si>
    <t>Single_Source_Risk</t>
  </si>
  <si>
    <t>Kraljic_Category</t>
  </si>
  <si>
    <t>P001</t>
  </si>
  <si>
    <t>Semiconductors</t>
  </si>
  <si>
    <t>South America</t>
  </si>
  <si>
    <t>Strategic</t>
  </si>
  <si>
    <t>P002</t>
  </si>
  <si>
    <t>P003</t>
  </si>
  <si>
    <t>Pharma APIs</t>
  </si>
  <si>
    <t>Asia</t>
  </si>
  <si>
    <t>P004</t>
  </si>
  <si>
    <t>P005</t>
  </si>
  <si>
    <t>Lithium Batteries</t>
  </si>
  <si>
    <t>P006</t>
  </si>
  <si>
    <t>AI Chips</t>
  </si>
  <si>
    <t>P007</t>
  </si>
  <si>
    <t>P008</t>
  </si>
  <si>
    <t>P009</t>
  </si>
  <si>
    <t>P010</t>
  </si>
  <si>
    <t>Africa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</si>
  <si>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</si>
  <si>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</si>
  <si>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</si>
  <si>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</si>
  <si>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</si>
  <si>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</si>
  <si>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</si>
  <si>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</si>
  <si>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</si>
  <si>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</si>
  <si>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</si>
  <si>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</si>
  <si>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</si>
  <si>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</si>
  <si>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</si>
  <si>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</si>
  <si>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</si>
  <si>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</si>
  <si>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</si>
  <si>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</si>
  <si>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</si>
  <si>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</si>
  <si>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</si>
  <si>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</si>
  <si>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</si>
  <si>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</si>
  <si>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</si>
  <si>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</si>
  <si>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</si>
  <si>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</si>
  <si>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</si>
  <si>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</si>
  <si>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</si>
  <si>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</si>
  <si>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</si>
  <si>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</si>
  <si>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</si>
  <si>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</si>
  <si>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</si>
  <si>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</si>
  <si>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</si>
  <si>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</si>
  <si>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</si>
  <si>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</si>
  <si>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</si>
  <si>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</si>
  <si>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</si>
  <si>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</si>
  <si>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</si>
  <si>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</si>
  <si>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</si>
  <si>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</si>
  <si>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</si>
  <si>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</si>
  <si>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</si>
  <si>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</si>
  <si>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</si>
  <si>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</si>
  <si>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</si>
  <si>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</si>
  <si>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</si>
  <si>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</si>
  <si>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</si>
  <si>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</si>
  <si>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</si>
  <si>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</si>
  <si>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</si>
  <si>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</si>
  <si>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</si>
  <si>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</si>
  <si>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</si>
  <si>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</si>
  <si>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</si>
  <si>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</si>
  <si>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</si>
  <si>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</si>
  <si>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</si>
  <si>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</si>
  <si>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</si>
  <si>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</si>
  <si>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</si>
  <si>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</si>
  <si>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</si>
  <si>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</si>
  <si>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</si>
  <si>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</si>
  <si>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</si>
  <si>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</si>
  <si>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</si>
  <si>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</si>
  <si>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</si>
  <si>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</si>
  <si>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</si>
  <si>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</si>
  <si>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</si>
  <si>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</si>
  <si>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</si>
  <si>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</si>
  <si>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</si>
  <si>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</si>
  <si>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</si>
  <si>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</si>
  <si>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</si>
  <si>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</si>
  <si>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</si>
  <si>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</si>
  <si>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</si>
  <si>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</si>
  <si>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</si>
  <si>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</si>
  <si>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</si>
  <si>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</si>
  <si>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</si>
  <si>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</si>
  <si>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</si>
  <si>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</si>
  <si>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</si>
  <si>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</si>
  <si>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</si>
  <si>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</si>
  <si>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</si>
  <si>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</si>
  <si>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</si>
  <si>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</si>
  <si>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</si>
  <si>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</si>
  <si>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</si>
  <si>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</si>
  <si>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</si>
  <si>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</si>
  <si>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</si>
  <si>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</si>
  <si>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</si>
  <si>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</si>
  <si>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</si>
  <si>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</si>
  <si>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</si>
  <si>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</si>
  <si>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</si>
  <si>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</si>
  <si>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</si>
  <si>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</si>
  <si>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</si>
  <si>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</si>
  <si>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</si>
  <si>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</si>
  <si>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</si>
  <si>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</si>
  <si>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</si>
  <si>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</si>
  <si>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</si>
  <si>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</si>
  <si>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</si>
  <si>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</si>
  <si>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</si>
  <si>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</si>
  <si>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</si>
  <si>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</si>
  <si>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</si>
  <si>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</si>
  <si>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</si>
  <si>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</si>
  <si>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</si>
  <si>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</si>
  <si>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</si>
  <si>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</si>
  <si>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</si>
  <si>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</si>
  <si>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</si>
  <si>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</si>
  <si>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</si>
  <si>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</si>
  <si>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</si>
  <si>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</si>
  <si>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</si>
  <si>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</si>
  <si>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</si>
  <si>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</si>
  <si>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</si>
  <si>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</si>
  <si>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</si>
  <si>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</si>
  <si>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</si>
  <si>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</si>
  <si>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</si>
  <si>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</si>
  <si>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</si>
  <si>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</si>
  <si>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</si>
  <si>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</si>
  <si>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</si>
  <si>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</si>
  <si>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</si>
  <si>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</si>
  <si>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</si>
  <si>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</si>
  <si>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</si>
  <si>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</si>
  <si>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</si>
  <si>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</si>
  <si>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</si>
  <si>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</si>
  <si>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</si>
  <si>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</si>
  <si>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</si>
  <si>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</si>
  <si>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</si>
  <si>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</si>
  <si>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</si>
  <si>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</si>
  <si>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</si>
  <si>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</si>
  <si>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</si>
  <si>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</si>
  <si>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</si>
  <si>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</si>
  <si>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</si>
  <si>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</si>
  <si>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</si>
  <si>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</si>
  <si>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</si>
  <si>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</si>
  <si>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</si>
  <si>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</si>
  <si>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</si>
  <si>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</si>
  <si>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</si>
  <si>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</si>
  <si>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</si>
  <si>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</si>
  <si>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</si>
  <si>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</si>
  <si>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</si>
  <si>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</si>
  <si>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</si>
  <si>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</si>
  <si>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</si>
  <si>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</si>
  <si>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</si>
  <si>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</si>
  <si>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</si>
  <si>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Customized Valves</t>
  </si>
  <si>
    <t>Bottleneck</t>
  </si>
  <si>
    <t>P252</t>
  </si>
  <si>
    <t>Rare Earth Metals</t>
  </si>
  <si>
    <t>Europe</t>
  </si>
  <si>
    <t>P253</t>
  </si>
  <si>
    <t>P254</t>
  </si>
  <si>
    <t>P255</t>
  </si>
  <si>
    <t>P256</t>
  </si>
  <si>
    <t>P257</t>
  </si>
  <si>
    <t>P258</t>
  </si>
  <si>
    <t>Specialty Gases</t>
  </si>
  <si>
    <t>P259</t>
  </si>
  <si>
    <t>P260</t>
  </si>
  <si>
    <t>P261</t>
  </si>
  <si>
    <t>Catalysts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</si>
  <si>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</si>
  <si>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</si>
  <si>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</si>
  <si>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</si>
  <si>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</si>
  <si>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</si>
  <si>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</si>
  <si>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</si>
  <si>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</si>
  <si>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</si>
  <si>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</si>
  <si>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</si>
  <si>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</si>
  <si>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</si>
  <si>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</si>
  <si>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</si>
  <si>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</si>
  <si>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</si>
  <si>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</si>
  <si>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</si>
  <si>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</si>
  <si>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</si>
  <si>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</si>
  <si>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</si>
  <si>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</si>
  <si>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</si>
  <si>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</si>
  <si>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</si>
  <si>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</si>
  <si>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</si>
  <si>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</si>
  <si>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</si>
  <si>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</si>
  <si>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</si>
  <si>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</si>
  <si>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</si>
  <si>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</si>
  <si>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</si>
  <si>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</si>
  <si>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</si>
  <si>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</si>
  <si>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</si>
  <si>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</si>
  <si>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</si>
  <si>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</si>
  <si>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</si>
  <si>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</si>
  <si>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</si>
  <si>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</si>
  <si>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</si>
  <si>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</si>
  <si>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</si>
  <si>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</si>
  <si>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</si>
  <si>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</si>
  <si>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</si>
  <si>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</si>
  <si>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</si>
  <si>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</si>
  <si>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</si>
  <si>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</si>
  <si>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</si>
  <si>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</si>
  <si>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</si>
  <si>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</si>
  <si>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</si>
  <si>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</si>
  <si>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</si>
  <si>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</si>
  <si>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</si>
  <si>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</si>
  <si>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</si>
  <si>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</si>
  <si>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</si>
  <si>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</si>
  <si>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</si>
  <si>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</si>
  <si>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</si>
  <si>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</si>
  <si>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</si>
  <si>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</si>
  <si>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</si>
  <si>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</si>
  <si>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</si>
  <si>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</si>
  <si>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</si>
  <si>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</si>
  <si>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</si>
  <si>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</si>
  <si>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</si>
  <si>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</si>
  <si>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</si>
  <si>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</si>
  <si>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</si>
  <si>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</si>
  <si>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</si>
  <si>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</si>
  <si>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</si>
  <si>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</si>
  <si>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</si>
  <si>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</si>
  <si>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</si>
  <si>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</si>
  <si>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</si>
  <si>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</si>
  <si>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</si>
  <si>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</si>
  <si>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</si>
  <si>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</si>
  <si>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</si>
  <si>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</si>
  <si>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</si>
  <si>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</si>
  <si>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</si>
  <si>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</si>
  <si>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</si>
  <si>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</si>
  <si>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</si>
  <si>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</si>
  <si>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</si>
  <si>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</si>
  <si>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</si>
  <si>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</si>
  <si>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</si>
  <si>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</si>
  <si>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</si>
  <si>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</si>
  <si>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</si>
  <si>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</si>
  <si>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</si>
  <si>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</si>
  <si>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</si>
  <si>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</si>
  <si>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</si>
  <si>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</si>
  <si>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</si>
  <si>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</si>
  <si>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</si>
  <si>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</si>
  <si>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</si>
  <si>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</si>
  <si>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</si>
  <si>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</si>
  <si>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</si>
  <si>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</si>
  <si>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</si>
  <si>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</si>
  <si>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</si>
  <si>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</si>
  <si>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</si>
  <si>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</si>
  <si>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</si>
  <si>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</si>
  <si>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</si>
  <si>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</si>
  <si>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</si>
  <si>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</si>
  <si>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</si>
  <si>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</si>
  <si>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</si>
  <si>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</si>
  <si>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</si>
  <si>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</si>
  <si>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</si>
  <si>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</si>
  <si>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</si>
  <si>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</si>
  <si>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</si>
  <si>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</si>
  <si>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</si>
  <si>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</si>
  <si>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</si>
  <si>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</si>
  <si>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</si>
  <si>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</si>
  <si>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</si>
  <si>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</si>
  <si>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</si>
  <si>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</si>
  <si>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</si>
  <si>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</si>
  <si>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</si>
  <si>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</si>
  <si>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</si>
  <si>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</si>
  <si>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</si>
  <si>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</si>
  <si>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</si>
  <si>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</si>
  <si>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</si>
  <si>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</si>
  <si>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</si>
  <si>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</si>
  <si>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</si>
  <si>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</si>
  <si>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</si>
  <si>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</si>
  <si>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</si>
  <si>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</si>
  <si>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</si>
  <si>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</si>
  <si>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</si>
  <si>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</si>
  <si>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</si>
  <si>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</si>
  <si>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</si>
  <si>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</si>
  <si>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</si>
  <si>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</si>
  <si>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</si>
  <si>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</si>
  <si>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</si>
  <si>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</si>
  <si>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</si>
  <si>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</si>
  <si>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</si>
  <si>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</si>
  <si>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</si>
  <si>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</si>
  <si>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</si>
  <si>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</si>
  <si>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</si>
  <si>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</si>
  <si>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</si>
  <si>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</si>
  <si>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</si>
  <si>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</si>
  <si>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</si>
  <si>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</si>
  <si>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</si>
  <si>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</si>
  <si>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</si>
  <si>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</si>
  <si>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</si>
  <si>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</si>
  <si>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</si>
  <si>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</si>
  <si>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</si>
  <si>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</si>
  <si>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</si>
  <si>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Standard Bolts</t>
  </si>
  <si>
    <t>North America</t>
  </si>
  <si>
    <t>Leverage</t>
  </si>
  <si>
    <t>P502</t>
  </si>
  <si>
    <t>PVC Pipes</t>
  </si>
  <si>
    <t>P503</t>
  </si>
  <si>
    <t>Packaging Material</t>
  </si>
  <si>
    <t>P504</t>
  </si>
  <si>
    <t>Steel Beams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</si>
  <si>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</si>
  <si>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</si>
  <si>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</si>
  <si>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</si>
  <si>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</si>
  <si>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</si>
  <si>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</si>
  <si>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</si>
  <si>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</si>
  <si>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</si>
  <si>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</si>
  <si>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</si>
  <si>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</si>
  <si>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</si>
  <si>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</si>
  <si>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</si>
  <si>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</si>
  <si>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</si>
  <si>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</si>
  <si>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</si>
  <si>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</si>
  <si>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</si>
  <si>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</si>
  <si>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</si>
  <si>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</si>
  <si>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</si>
  <si>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</si>
  <si>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</si>
  <si>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</si>
  <si>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</si>
  <si>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</si>
  <si>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</si>
  <si>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</si>
  <si>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</si>
  <si>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</si>
  <si>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</si>
  <si>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</si>
  <si>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</si>
  <si>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</si>
  <si>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</si>
  <si>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</si>
  <si>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</si>
  <si>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</si>
  <si>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</si>
  <si>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</si>
  <si>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</si>
  <si>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</si>
  <si>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</si>
  <si>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</si>
  <si>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</si>
  <si>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</si>
  <si>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</si>
  <si>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</si>
  <si>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</si>
  <si>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</si>
  <si>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</si>
  <si>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</si>
  <si>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</si>
  <si>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</si>
  <si>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</si>
  <si>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</si>
  <si>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</si>
  <si>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</si>
  <si>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</si>
  <si>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</si>
  <si>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</si>
  <si>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</si>
  <si>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</si>
  <si>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</si>
  <si>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</si>
  <si>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</si>
  <si>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</si>
  <si>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</si>
  <si>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</si>
  <si>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</si>
  <si>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</si>
  <si>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</si>
  <si>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</si>
  <si>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</si>
  <si>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</si>
  <si>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</si>
  <si>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</si>
  <si>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</si>
  <si>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</si>
  <si>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</si>
  <si>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</si>
  <si>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</si>
  <si>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</si>
  <si>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</si>
  <si>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</si>
  <si>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</si>
  <si>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</si>
  <si>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</si>
  <si>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</si>
  <si>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</si>
  <si>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</si>
  <si>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</si>
  <si>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</si>
  <si>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</si>
  <si>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</si>
  <si>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</si>
  <si>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</si>
  <si>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</si>
  <si>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</si>
  <si>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</si>
  <si>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</si>
  <si>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</si>
  <si>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</si>
  <si>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</si>
  <si>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</si>
  <si>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</si>
  <si>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</si>
  <si>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</si>
  <si>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</si>
  <si>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</si>
  <si>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</si>
  <si>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</si>
  <si>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</si>
  <si>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</si>
  <si>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</si>
  <si>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</si>
  <si>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</si>
  <si>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</si>
  <si>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</si>
  <si>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</si>
  <si>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</si>
  <si>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</si>
  <si>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</si>
  <si>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</si>
  <si>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</si>
  <si>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</si>
  <si>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</si>
  <si>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</si>
  <si>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</si>
  <si>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</si>
  <si>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</si>
  <si>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</si>
  <si>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</si>
  <si>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</si>
  <si>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</si>
  <si>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</si>
  <si>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</si>
  <si>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</si>
  <si>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</si>
  <si>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</si>
  <si>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</si>
  <si>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</si>
  <si>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</si>
  <si>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</si>
  <si>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</si>
  <si>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</si>
  <si>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</si>
  <si>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</si>
  <si>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</si>
  <si>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</si>
  <si>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</si>
  <si>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</si>
  <si>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</si>
  <si>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</si>
  <si>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</si>
  <si>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</si>
  <si>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</si>
  <si>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</si>
  <si>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</si>
  <si>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</si>
  <si>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</si>
  <si>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</si>
  <si>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</si>
  <si>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</si>
  <si>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</si>
  <si>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</si>
  <si>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</si>
  <si>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</si>
  <si>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</si>
  <si>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</si>
  <si>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</si>
  <si>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</si>
  <si>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</si>
  <si>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</si>
  <si>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</si>
  <si>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</si>
  <si>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</si>
  <si>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</si>
  <si>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</si>
  <si>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</si>
  <si>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</si>
  <si>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</si>
  <si>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</si>
  <si>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</si>
  <si>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</si>
  <si>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</si>
  <si>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</si>
  <si>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</si>
  <si>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</si>
  <si>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</si>
  <si>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</si>
  <si>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</si>
  <si>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</si>
  <si>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</si>
  <si>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</si>
  <si>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</si>
  <si>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</si>
  <si>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</si>
  <si>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</si>
  <si>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</si>
  <si>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</si>
  <si>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</si>
  <si>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</si>
  <si>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</si>
  <si>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</si>
  <si>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</si>
  <si>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</si>
  <si>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</si>
  <si>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</si>
  <si>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</si>
  <si>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</si>
  <si>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</si>
  <si>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</si>
  <si>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</si>
  <si>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</si>
  <si>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</si>
  <si>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</si>
  <si>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</si>
  <si>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</si>
  <si>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</si>
  <si>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</si>
  <si>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</si>
  <si>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</si>
  <si>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</si>
  <si>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</si>
  <si>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</si>
  <si>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</si>
  <si>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</si>
  <si>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</si>
  <si>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</si>
  <si>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</si>
  <si>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</si>
  <si>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</si>
  <si>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</si>
  <si>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</si>
  <si>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</si>
  <si>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</si>
  <si>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</si>
  <si>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</si>
  <si>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</si>
  <si>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</si>
  <si>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</si>
  <si>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Cleaning Supplies</t>
  </si>
  <si>
    <t>P752</t>
  </si>
  <si>
    <t>Uniforms</t>
  </si>
  <si>
    <t>P753</t>
  </si>
  <si>
    <t>P754</t>
  </si>
  <si>
    <t>P755</t>
  </si>
  <si>
    <t>Printer Ink</t>
  </si>
  <si>
    <t>P756</t>
  </si>
  <si>
    <t>P757</t>
  </si>
  <si>
    <t>P758</t>
  </si>
  <si>
    <t>P759</t>
  </si>
  <si>
    <t>Office Stationery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</si>
  <si>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</si>
  <si>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</si>
  <si>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</si>
  <si>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</si>
  <si>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</si>
  <si>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</si>
  <si>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</si>
  <si>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</si>
  <si>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</si>
  <si>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</si>
  <si>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</si>
  <si>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</si>
  <si>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</si>
  <si>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</si>
  <si>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</si>
  <si>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</si>
  <si>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</si>
  <si>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</si>
  <si>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</si>
  <si>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</si>
  <si>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</si>
  <si>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</si>
  <si>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</si>
  <si>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</si>
  <si>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</si>
  <si>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</si>
  <si>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</si>
  <si>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</si>
  <si>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</si>
  <si>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</si>
  <si>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</si>
  <si>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</si>
  <si>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</si>
  <si>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</si>
  <si>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</si>
  <si>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</si>
  <si>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</si>
  <si>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</si>
  <si>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</si>
  <si>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</si>
  <si>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</si>
  <si>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</si>
  <si>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</si>
  <si>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</si>
  <si>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</si>
  <si>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</si>
  <si>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</si>
  <si>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</si>
  <si>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</si>
  <si>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</si>
  <si>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</si>
  <si>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</si>
  <si>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</si>
  <si>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</si>
  <si>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</si>
  <si>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</si>
  <si>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</si>
  <si>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</si>
  <si>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</si>
  <si>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</si>
  <si>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</si>
  <si>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</si>
  <si>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</si>
  <si>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</si>
  <si>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</si>
  <si>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</si>
  <si>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</si>
  <si>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</si>
  <si>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</si>
  <si>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</si>
  <si>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</si>
  <si>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</si>
  <si>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</si>
  <si>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</si>
  <si>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</si>
  <si>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</si>
  <si>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</si>
  <si>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</si>
  <si>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</si>
  <si>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</si>
  <si>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</si>
  <si>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</si>
  <si>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</si>
  <si>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</si>
  <si>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</si>
  <si>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</si>
  <si>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</si>
  <si>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</si>
  <si>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</si>
  <si>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</si>
  <si>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</si>
  <si>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</si>
  <si>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</si>
  <si>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</si>
  <si>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</si>
  <si>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</si>
  <si>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</si>
  <si>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</si>
  <si>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</si>
  <si>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</si>
  <si>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</si>
  <si>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</si>
  <si>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</si>
  <si>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</si>
  <si>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</si>
  <si>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</si>
  <si>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</si>
  <si>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</si>
  <si>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</si>
  <si>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</si>
  <si>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</si>
  <si>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</si>
  <si>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</si>
  <si>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</si>
  <si>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</si>
  <si>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</si>
  <si>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</si>
  <si>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</si>
  <si>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</si>
  <si>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</si>
  <si>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</si>
  <si>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</si>
  <si>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</si>
  <si>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</si>
  <si>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</si>
  <si>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</si>
  <si>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</si>
  <si>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</si>
  <si>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</si>
  <si>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</si>
  <si>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</si>
  <si>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</si>
  <si>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</si>
  <si>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</si>
  <si>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</si>
  <si>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</si>
  <si>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</si>
  <si>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</si>
  <si>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</si>
  <si>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</si>
  <si>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</si>
  <si>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</si>
  <si>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</si>
  <si>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</si>
  <si>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</si>
  <si>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</si>
  <si>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</si>
  <si>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</si>
  <si>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</si>
  <si>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</si>
  <si>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</si>
  <si>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</si>
  <si>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</si>
  <si>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</si>
  <si>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</si>
  <si>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</si>
  <si>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</si>
  <si>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</si>
  <si>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</si>
  <si>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</si>
  <si>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</si>
  <si>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</si>
  <si>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</si>
  <si>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</si>
  <si>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</si>
  <si>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</si>
  <si>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</si>
  <si>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</si>
  <si>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</si>
  <si>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</si>
  <si>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</si>
  <si>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</si>
  <si>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</si>
  <si>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</si>
  <si>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</si>
  <si>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</si>
  <si>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</si>
  <si>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</si>
  <si>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</si>
  <si>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</si>
  <si>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P940</t>
  </si>
  <si>
    <t>P941</t>
  </si>
  <si>
    <t>P942</t>
  </si>
  <si>
    <t>P943</t>
  </si>
  <si>
    <t>P944</t>
  </si>
  <si>
    <t>P945</t>
  </si>
  <si>
    <t>P946</t>
  </si>
  <si>
    <t>P947</t>
  </si>
  <si>
    <t>P948</t>
  </si>
  <si>
    <t>P949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</si>
  <si>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</si>
  <si>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</si>
  <si>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</si>
  <si>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</si>
  <si>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</si>
  <si>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</si>
  <si>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</si>
  <si>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</si>
  <si>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</si>
  <si>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</si>
  <si>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P960</t>
  </si>
  <si>
    <t>P961</t>
  </si>
  <si>
    <t>P962</t>
  </si>
  <si>
    <t>P963</t>
  </si>
  <si>
    <t>P964</t>
  </si>
  <si>
    <t>P965</t>
  </si>
  <si>
    <t>P966</t>
  </si>
  <si>
    <t>P967</t>
  </si>
  <si>
    <t>P968</t>
  </si>
  <si>
    <t>P969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</si>
  <si>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</si>
  <si>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</si>
  <si>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</si>
  <si>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</si>
  <si>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</si>
  <si>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</si>
  <si>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</si>
  <si>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</si>
  <si>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</si>
  <si>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</si>
  <si>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</si>
  <si>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</si>
  <si>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</si>
  <si>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</si>
  <si>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</si>
  <si>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</si>
  <si>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</si>
  <si>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</si>
  <si>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</si>
  <si>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</si>
  <si>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</si>
  <si>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</si>
  <si>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</si>
  <si>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</si>
  <si>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</si>
  <si>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</si>
  <si>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</si>
  <si>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</si>
  <si>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</si>
  <si>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</si>
  <si>
    <t>P1000</t>
  </si>
  <si>
    <t>Supplier_ID</t>
  </si>
  <si>
    <t>Semiconductors_South America</t>
  </si>
  <si>
    <t>Pharma APIs_Asia</t>
  </si>
  <si>
    <t>Lithium Batteries_Asia</t>
  </si>
  <si>
    <t>AI Chips_Asia</t>
  </si>
  <si>
    <t>Lithium Batteries_South America</t>
  </si>
  <si>
    <t>AI Chips_South America</t>
  </si>
  <si>
    <t>Semiconductors_Africa</t>
  </si>
  <si>
    <t>Pharma APIs_Africa</t>
  </si>
  <si>
    <t>Lithium Batteries_Africa</t>
  </si>
  <si>
    <t>Pharma APIs_South America</t>
  </si>
  <si>
    <t>AI Chips_Africa</t>
  </si>
  <si>
    <t>Semiconductors_Asia</t>
  </si>
  <si>
    <t>Customized Valves_Asia</t>
  </si>
  <si>
    <t>Rare Earth Metals_Europe</t>
  </si>
  <si>
    <t>Rare Earth Metals_Asia</t>
  </si>
  <si>
    <t>Specialty Gases_Europe</t>
  </si>
  <si>
    <t>Catalysts_Europe</t>
  </si>
  <si>
    <t>Specialty Gases_Asia</t>
  </si>
  <si>
    <t>Customized Valves_Europe</t>
  </si>
  <si>
    <t>Catalysts_Asia</t>
  </si>
  <si>
    <t>Standard Bolts_North America</t>
  </si>
  <si>
    <t>PVC Pipes_North America</t>
  </si>
  <si>
    <t>Packaging Material_Asia</t>
  </si>
  <si>
    <t>Steel Beams_Europe</t>
  </si>
  <si>
    <t>Packaging Material_Europe</t>
  </si>
  <si>
    <t>PVC Pipes_Asia</t>
  </si>
  <si>
    <t>Steel Beams_Asia</t>
  </si>
  <si>
    <t>Standard Bolts_Europe</t>
  </si>
  <si>
    <t>Packaging Material_North America</t>
  </si>
  <si>
    <t>PVC Pipes_Europe</t>
  </si>
  <si>
    <t>Steel Beams_North America</t>
  </si>
  <si>
    <t>Standard Bolts_Asia</t>
  </si>
  <si>
    <t>Grand Total</t>
  </si>
  <si>
    <t>Avg_Cost</t>
  </si>
  <si>
    <t>Avg_Lead_TIme</t>
  </si>
  <si>
    <t>Lead_Time_Variability</t>
  </si>
  <si>
    <t>Total_Order_Volume</t>
  </si>
  <si>
    <t>Avg_Supply_Risk</t>
  </si>
  <si>
    <t>Avg_Profit_Impact</t>
  </si>
  <si>
    <t>Avg_Environmental_Impact</t>
  </si>
  <si>
    <t>Single_Source_Risk_Flag</t>
  </si>
  <si>
    <t>Lead_Time_Score</t>
  </si>
  <si>
    <t>Supply_Score</t>
  </si>
  <si>
    <t>Profit_Score</t>
  </si>
  <si>
    <t>Final_Weighted_Score</t>
  </si>
  <si>
    <t>Weight</t>
  </si>
  <si>
    <t>Product</t>
  </si>
  <si>
    <t>Product_Level_Score</t>
  </si>
  <si>
    <t>Region</t>
  </si>
  <si>
    <t>Cleaning Supplies_Asia</t>
  </si>
  <si>
    <t>Uniforms_North America</t>
  </si>
  <si>
    <t>Printer Ink_North America</t>
  </si>
  <si>
    <t>Office Stationery_Europe</t>
  </si>
  <si>
    <t>Cost_score</t>
  </si>
  <si>
    <t>Volume_Score</t>
  </si>
  <si>
    <t>Environ_Score</t>
  </si>
  <si>
    <t>Profit_Impact_Index</t>
  </si>
  <si>
    <t>Supply_Risk_Index</t>
  </si>
  <si>
    <t>Risk_Threshold</t>
  </si>
  <si>
    <t>Quadrant</t>
  </si>
  <si>
    <t># of Items</t>
  </si>
  <si>
    <t>Avg Risk</t>
  </si>
  <si>
    <t>Avg Profit</t>
  </si>
  <si>
    <t>Non-critical</t>
  </si>
  <si>
    <t xml:space="preserve">% of Spend </t>
  </si>
  <si>
    <t>Profit_Threshold</t>
  </si>
  <si>
    <t>Cost</t>
  </si>
  <si>
    <t>Lead Time</t>
  </si>
  <si>
    <t>Volume</t>
  </si>
  <si>
    <t>Supply</t>
  </si>
  <si>
    <t>Profit</t>
  </si>
  <si>
    <t>Environment</t>
  </si>
  <si>
    <t>Minimum</t>
  </si>
  <si>
    <t>Maximum</t>
  </si>
  <si>
    <t>Single Source</t>
  </si>
  <si>
    <t>(red is above product level avg)</t>
  </si>
  <si>
    <t>Index Type</t>
  </si>
  <si>
    <t>Factor</t>
  </si>
  <si>
    <t>Profit Impact Index</t>
  </si>
  <si>
    <t>Supply Risk Index</t>
  </si>
  <si>
    <t>Supply Availability</t>
  </si>
  <si>
    <t xml:space="preserve">Single Source </t>
  </si>
  <si>
    <t>Product Level Score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</si>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</sst>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8"/>
      <color theme="1"/>
      <name val="Aptos Narrow (Body)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  <xf numFmtId="0" fontId="19" fillId="0" borderId="0" xfId="0" applyFont="1"/>
    <xf numFmtId="0" fontId="0" fillId="0" borderId="10" xfId="0" applyBorder="1"/>
    <xf numFmtId="0" fontId="18" fillId="0" borderId="10" xfId="0" applyFont="1" applyBorder="1"/>
    <xf numFmtId="2" fontId="0" fillId="0" borderId="10" xfId="0" applyNumberFormat="1" applyBorder="1"/>
    <xf numFmtId="2" fontId="19" fillId="0" borderId="0" xfId="0" applyNumberFormat="1" applyFont="1"/>
    <xf numFmtId="0" fontId="0" fillId="0" borderId="13" xfId="0" applyBorder="1"/>
    <xf numFmtId="0" fontId="16" fillId="0" borderId="10" xfId="0" applyFont="1" applyBorder="1"/>
    <xf numFmtId="0" fontId="16" fillId="0" borderId="11" xfId="0" applyFont="1" applyBorder="1"/>
    <xf numFmtId="2" fontId="0" fillId="0" borderId="11" xfId="0" applyNumberFormat="1" applyBorder="1"/>
    <xf numFmtId="9" fontId="19" fillId="33" borderId="10" xfId="42" applyFont="1" applyFill="1" applyBorder="1"/>
    <xf numFmtId="2" fontId="0" fillId="0" borderId="14" xfId="0" applyNumberFormat="1" applyBorder="1"/>
    <xf numFmtId="2" fontId="19" fillId="0" borderId="10" xfId="0" applyNumberFormat="1" applyFont="1" applyBorder="1"/>
    <xf numFmtId="9" fontId="0" fillId="0" borderId="10" xfId="0" applyNumberFormat="1" applyBorder="1"/>
    <xf numFmtId="9" fontId="16" fillId="0" borderId="10" xfId="42" applyFont="1" applyBorder="1"/>
    <xf numFmtId="0" fontId="0" fillId="0" borderId="12" xfId="0" applyBorder="1"/>
    <xf numFmtId="0" fontId="16" fillId="0" borderId="14" xfId="0" applyFont="1" applyBorder="1"/>
    <xf numFmtId="10" fontId="0" fillId="0" borderId="10" xfId="42" applyNumberFormat="1" applyFont="1" applyBorder="1"/>
    <xf numFmtId="0" fontId="18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 vertical="center"/>
    </xf>
    <xf numFmtId="0" fontId="20" fillId="0" borderId="0" xfId="0" applyFont="1" applyBorder="1" applyAlignment="1">
      <alignment horizontal="left" vertical="top" wrapText="1"/>
    </xf>
    <xf numFmtId="2" fontId="0" fillId="0" borderId="0" xfId="0" applyNumberFormat="1" applyBorder="1"/>
    <xf numFmtId="0" fontId="0" fillId="0" borderId="0" xfId="0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Fill="1" applyBorder="1"/>
    <xf numFmtId="0" fontId="0" fillId="0" borderId="0" xfId="0" applyFill="1"/>
    <xf numFmtId="0" fontId="0" fillId="0" borderId="11" xfId="0" applyBorder="1"/>
    <xf numFmtId="0" fontId="0" fillId="0" borderId="14" xfId="0" applyBorder="1"/>
    <xf numFmtId="0" fontId="0" fillId="0" borderId="10" xfId="0" applyFill="1" applyBorder="1"/>
    <xf numFmtId="0" fontId="0" fillId="0" borderId="10" xfId="0" applyBorder="1" applyAlignment="1">
      <alignment vertical="center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41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theme="1"/>
      </font>
      <fill>
        <patternFill>
          <bgColor theme="7" tint="0.39994506668294322"/>
        </patternFill>
      </fill>
    </dxf>
    <dxf>
      <numFmt numFmtId="170" formatCode="0.000"/>
    </dxf>
    <dxf>
      <numFmt numFmtId="2" formatCode="0.00"/>
    </dxf>
    <dxf>
      <numFmt numFmtId="170" formatCode="0.000"/>
    </dxf>
    <dxf>
      <numFmt numFmtId="169" formatCode="0.0000"/>
    </dxf>
    <dxf>
      <numFmt numFmtId="169" formatCode="0.0000"/>
    </dxf>
    <dxf>
      <numFmt numFmtId="168" formatCode="0.00000"/>
    </dxf>
    <dxf>
      <numFmt numFmtId="168" formatCode="0.00000"/>
    </dxf>
    <dxf>
      <numFmt numFmtId="167" formatCode="0.000000"/>
    </dxf>
    <dxf>
      <numFmt numFmtId="167" formatCode="0.000000"/>
    </dxf>
    <dxf>
      <numFmt numFmtId="166" formatCode="0.0000000"/>
    </dxf>
    <dxf>
      <numFmt numFmtId="166" formatCode="0.0000000"/>
    </dxf>
    <dxf>
      <numFmt numFmtId="165" formatCode="0.00000000"/>
    </dxf>
    <dxf>
      <numFmt numFmtId="165" formatCode="0.00000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Kraljic Matrix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kraljic!$L$2:$L$37</c:f>
              <c:numCache>
                <c:formatCode>0.00</c:formatCode>
                <c:ptCount val="36"/>
                <c:pt idx="0">
                  <c:v>0.45</c:v>
                </c:pt>
                <c:pt idx="1">
                  <c:v>0.20637303762770995</c:v>
                </c:pt>
                <c:pt idx="2">
                  <c:v>0.29025959748464553</c:v>
                </c:pt>
                <c:pt idx="3">
                  <c:v>9.752678793919764E-2</c:v>
                </c:pt>
                <c:pt idx="4">
                  <c:v>0.2573075006229753</c:v>
                </c:pt>
                <c:pt idx="5">
                  <c:v>0.70273753159374897</c:v>
                </c:pt>
                <c:pt idx="6">
                  <c:v>0.31375054881160036</c:v>
                </c:pt>
                <c:pt idx="7">
                  <c:v>0.3015874877237214</c:v>
                </c:pt>
                <c:pt idx="8">
                  <c:v>0.357433341639671</c:v>
                </c:pt>
                <c:pt idx="9">
                  <c:v>0.2444018478406717</c:v>
                </c:pt>
                <c:pt idx="10">
                  <c:v>0.352058587368829</c:v>
                </c:pt>
                <c:pt idx="11">
                  <c:v>0.72238700784948917</c:v>
                </c:pt>
                <c:pt idx="12">
                  <c:v>0.36539011370939178</c:v>
                </c:pt>
                <c:pt idx="13">
                  <c:v>0.63142880875250684</c:v>
                </c:pt>
                <c:pt idx="14">
                  <c:v>0.59433579995449581</c:v>
                </c:pt>
                <c:pt idx="15">
                  <c:v>0.279527405497351</c:v>
                </c:pt>
                <c:pt idx="16">
                  <c:v>0.2069721322368967</c:v>
                </c:pt>
                <c:pt idx="17">
                  <c:v>0.22688097018024755</c:v>
                </c:pt>
                <c:pt idx="18">
                  <c:v>0.74068974110004548</c:v>
                </c:pt>
                <c:pt idx="19">
                  <c:v>0.55491652130575631</c:v>
                </c:pt>
                <c:pt idx="20">
                  <c:v>0.4429798806054237</c:v>
                </c:pt>
                <c:pt idx="21">
                  <c:v>0.61859629281757367</c:v>
                </c:pt>
                <c:pt idx="22">
                  <c:v>0.31155898502281371</c:v>
                </c:pt>
                <c:pt idx="23">
                  <c:v>0.22402691253426357</c:v>
                </c:pt>
                <c:pt idx="24">
                  <c:v>0.27000477614419799</c:v>
                </c:pt>
                <c:pt idx="25">
                  <c:v>0.41817475557379691</c:v>
                </c:pt>
                <c:pt idx="26">
                  <c:v>0.28104046464375393</c:v>
                </c:pt>
                <c:pt idx="27">
                  <c:v>0.34907532661706597</c:v>
                </c:pt>
                <c:pt idx="28">
                  <c:v>0.22337460072944751</c:v>
                </c:pt>
                <c:pt idx="29">
                  <c:v>0.30476190476190479</c:v>
                </c:pt>
                <c:pt idx="30">
                  <c:v>0.52676124025488591</c:v>
                </c:pt>
                <c:pt idx="31">
                  <c:v>0.54113150119255282</c:v>
                </c:pt>
                <c:pt idx="32">
                  <c:v>0.52395903788876619</c:v>
                </c:pt>
                <c:pt idx="33">
                  <c:v>0.54191253426364305</c:v>
                </c:pt>
                <c:pt idx="34">
                  <c:v>0.46762626726297429</c:v>
                </c:pt>
                <c:pt idx="35">
                  <c:v>0.61535397887898813</c:v>
                </c:pt>
              </c:numCache>
            </c:numRef>
          </c:xVal>
          <c:yVal>
            <c:numRef>
              <c:f>kraljic!$K$2:$K$37</c:f>
              <c:numCache>
                <c:formatCode>0.00</c:formatCode>
                <c:ptCount val="36"/>
                <c:pt idx="0">
                  <c:v>0.49041546701658473</c:v>
                </c:pt>
                <c:pt idx="1">
                  <c:v>0.48226640930101361</c:v>
                </c:pt>
                <c:pt idx="2">
                  <c:v>0.45193560673357036</c:v>
                </c:pt>
                <c:pt idx="3">
                  <c:v>0.21978448157637437</c:v>
                </c:pt>
                <c:pt idx="4">
                  <c:v>0.21196340328173607</c:v>
                </c:pt>
                <c:pt idx="5">
                  <c:v>0.58000000000000007</c:v>
                </c:pt>
                <c:pt idx="6">
                  <c:v>0.18834863870645971</c:v>
                </c:pt>
                <c:pt idx="7">
                  <c:v>0.21314947957181996</c:v>
                </c:pt>
                <c:pt idx="8">
                  <c:v>0.45846110935775386</c:v>
                </c:pt>
                <c:pt idx="9">
                  <c:v>0.47208030194783634</c:v>
                </c:pt>
                <c:pt idx="10">
                  <c:v>0.39029554564154689</c:v>
                </c:pt>
                <c:pt idx="11">
                  <c:v>0.56659624321905055</c:v>
                </c:pt>
                <c:pt idx="12">
                  <c:v>0.76940105394902236</c:v>
                </c:pt>
                <c:pt idx="13">
                  <c:v>0.76494496857445538</c:v>
                </c:pt>
                <c:pt idx="14">
                  <c:v>0.79702782499036673</c:v>
                </c:pt>
                <c:pt idx="15">
                  <c:v>0.45840092718462006</c:v>
                </c:pt>
                <c:pt idx="16">
                  <c:v>0.50078326448928123</c:v>
                </c:pt>
                <c:pt idx="17">
                  <c:v>0.48032811563527056</c:v>
                </c:pt>
                <c:pt idx="18">
                  <c:v>0.57241043106511791</c:v>
                </c:pt>
                <c:pt idx="19">
                  <c:v>0.77489756454241976</c:v>
                </c:pt>
                <c:pt idx="20">
                  <c:v>0.78386543715138446</c:v>
                </c:pt>
                <c:pt idx="21">
                  <c:v>0.77946544559450759</c:v>
                </c:pt>
                <c:pt idx="22">
                  <c:v>0.22902046897696926</c:v>
                </c:pt>
                <c:pt idx="23">
                  <c:v>0.20155711876420371</c:v>
                </c:pt>
                <c:pt idx="24">
                  <c:v>0.48811283657855831</c:v>
                </c:pt>
                <c:pt idx="25">
                  <c:v>0.45623446918392646</c:v>
                </c:pt>
                <c:pt idx="26">
                  <c:v>0.48610239012606371</c:v>
                </c:pt>
                <c:pt idx="27">
                  <c:v>0.2306026082335868</c:v>
                </c:pt>
                <c:pt idx="28">
                  <c:v>0.21178295256248936</c:v>
                </c:pt>
                <c:pt idx="29">
                  <c:v>0.77761444111014688</c:v>
                </c:pt>
                <c:pt idx="30">
                  <c:v>0.75451084053028339</c:v>
                </c:pt>
                <c:pt idx="31">
                  <c:v>0.77762232236498519</c:v>
                </c:pt>
                <c:pt idx="32">
                  <c:v>0.74176548406252862</c:v>
                </c:pt>
                <c:pt idx="33">
                  <c:v>0.73091845944887934</c:v>
                </c:pt>
                <c:pt idx="34">
                  <c:v>0.75857780386153084</c:v>
                </c:pt>
                <c:pt idx="35">
                  <c:v>0.56870238675605578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6A-2F4C-B5EA-8A23B6FF6387}"/>
            </c:ext>
          </c:extLst>
        </c:ser>
        <c:ser>
          <c:idx val="1"/>
          <c:order val="1"/>
          <c:tx>
            <c:v>profit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Pt>
            <c:idx val="1"/>
            <c:marker>
              <c:symbol val="square"/>
              <c:size val="6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  <a:round/>
                </a:ln>
                <a:effectLst/>
              </c:spPr>
            </c:marker>
            <c:bubble3D val="0"/>
            <c:spPr>
              <a:ln w="22225" cap="rnd">
                <a:solidFill>
                  <a:srgbClr val="AEAEAE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7D6A-2F4C-B5EA-8A23B6FF6387}"/>
              </c:ext>
            </c:extLst>
          </c:dPt>
          <c:xVal>
            <c:numLit>
              <c:formatCode>General</c:formatCode>
              <c:ptCount val="2"/>
              <c:pt idx="0">
                <c:v>0</c:v>
              </c:pt>
              <c:pt idx="1">
                <c:v>0.75</c:v>
              </c:pt>
            </c:numLit>
          </c:xVal>
          <c:yVal>
            <c:numLit>
              <c:formatCode>General</c:formatCode>
              <c:ptCount val="2"/>
              <c:pt idx="0">
                <c:v>0.4</c:v>
              </c:pt>
              <c:pt idx="1">
                <c:v>0.4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7D6A-2F4C-B5EA-8A23B6FF6387}"/>
            </c:ext>
          </c:extLst>
        </c:ser>
        <c:ser>
          <c:idx val="2"/>
          <c:order val="2"/>
          <c:tx>
            <c:v>risk</c:v>
          </c:tx>
          <c:spPr>
            <a:ln w="2222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Lit>
              <c:formatCode>General</c:formatCode>
              <c:ptCount val="2"/>
              <c:pt idx="0">
                <c:v>0.35</c:v>
              </c:pt>
              <c:pt idx="1">
                <c:v>0.35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0.95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7D6A-2F4C-B5EA-8A23B6FF6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732303"/>
        <c:axId val="729734031"/>
      </c:scatterChart>
      <c:valAx>
        <c:axId val="729732303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Risk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734031"/>
        <c:crosses val="autoZero"/>
        <c:crossBetween val="midCat"/>
      </c:valAx>
      <c:valAx>
        <c:axId val="72973403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732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Risk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supplier_exposure_analysis!$A$3:$A$18</c:f>
              <c:strCache>
                <c:ptCount val="16"/>
                <c:pt idx="0">
                  <c:v>Catalysts</c:v>
                </c:pt>
                <c:pt idx="1">
                  <c:v>Pharma APIs</c:v>
                </c:pt>
                <c:pt idx="2">
                  <c:v>Customized Valves</c:v>
                </c:pt>
                <c:pt idx="3">
                  <c:v>Lithium Batteries</c:v>
                </c:pt>
                <c:pt idx="4">
                  <c:v>Rare Earth Metals</c:v>
                </c:pt>
                <c:pt idx="5">
                  <c:v>Specialty Gases</c:v>
                </c:pt>
                <c:pt idx="6">
                  <c:v>AI Chips</c:v>
                </c:pt>
                <c:pt idx="7">
                  <c:v>Semiconductors</c:v>
                </c:pt>
                <c:pt idx="8">
                  <c:v>Standard Bolts</c:v>
                </c:pt>
                <c:pt idx="9">
                  <c:v>Steel Beams</c:v>
                </c:pt>
                <c:pt idx="10">
                  <c:v>Packaging Material</c:v>
                </c:pt>
                <c:pt idx="11">
                  <c:v>PVC Pipes</c:v>
                </c:pt>
                <c:pt idx="12">
                  <c:v>Uniforms</c:v>
                </c:pt>
                <c:pt idx="13">
                  <c:v>Cleaning Supplies</c:v>
                </c:pt>
                <c:pt idx="14">
                  <c:v>Office Stationery</c:v>
                </c:pt>
                <c:pt idx="15">
                  <c:v>Printer Ink</c:v>
                </c:pt>
              </c:strCache>
            </c:strRef>
          </c:cat>
          <c:val>
            <c:numRef>
              <c:f>supplier_exposure_analysis!$G$3:$G$18</c:f>
              <c:numCache>
                <c:formatCode>0.00</c:formatCode>
                <c:ptCount val="16"/>
                <c:pt idx="0">
                  <c:v>0.26</c:v>
                </c:pt>
                <c:pt idx="1">
                  <c:v>0.26</c:v>
                </c:pt>
                <c:pt idx="2">
                  <c:v>0.28000000000000003</c:v>
                </c:pt>
                <c:pt idx="3">
                  <c:v>0.28000000000000003</c:v>
                </c:pt>
                <c:pt idx="4">
                  <c:v>0.28000000000000003</c:v>
                </c:pt>
                <c:pt idx="5">
                  <c:v>0.28000000000000003</c:v>
                </c:pt>
                <c:pt idx="6">
                  <c:v>0.28999999999999998</c:v>
                </c:pt>
                <c:pt idx="7">
                  <c:v>0.28999999999999998</c:v>
                </c:pt>
                <c:pt idx="8">
                  <c:v>0.64</c:v>
                </c:pt>
                <c:pt idx="9">
                  <c:v>0.65</c:v>
                </c:pt>
                <c:pt idx="10">
                  <c:v>0.67</c:v>
                </c:pt>
                <c:pt idx="11">
                  <c:v>0.67</c:v>
                </c:pt>
                <c:pt idx="12">
                  <c:v>0.71</c:v>
                </c:pt>
                <c:pt idx="13">
                  <c:v>0.75</c:v>
                </c:pt>
                <c:pt idx="14">
                  <c:v>0.75</c:v>
                </c:pt>
                <c:pt idx="15">
                  <c:v>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61-7642-B6AB-B1704EAFB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7463776"/>
        <c:axId val="738810016"/>
      </c:barChart>
      <c:catAx>
        <c:axId val="101746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810016"/>
        <c:crosses val="autoZero"/>
        <c:auto val="1"/>
        <c:lblAlgn val="ctr"/>
        <c:lblOffset val="100"/>
        <c:noMultiLvlLbl val="0"/>
      </c:catAx>
      <c:valAx>
        <c:axId val="73881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46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Kraljic Matrix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kraljic!$L$2:$L$37</c:f>
              <c:numCache>
                <c:formatCode>0.00</c:formatCode>
                <c:ptCount val="36"/>
                <c:pt idx="0">
                  <c:v>0.45</c:v>
                </c:pt>
                <c:pt idx="1">
                  <c:v>0.20637303762770995</c:v>
                </c:pt>
                <c:pt idx="2">
                  <c:v>0.29025959748464553</c:v>
                </c:pt>
                <c:pt idx="3">
                  <c:v>9.752678793919764E-2</c:v>
                </c:pt>
                <c:pt idx="4">
                  <c:v>0.2573075006229753</c:v>
                </c:pt>
                <c:pt idx="5">
                  <c:v>0.70273753159374897</c:v>
                </c:pt>
                <c:pt idx="6">
                  <c:v>0.31375054881160036</c:v>
                </c:pt>
                <c:pt idx="7">
                  <c:v>0.3015874877237214</c:v>
                </c:pt>
                <c:pt idx="8">
                  <c:v>0.357433341639671</c:v>
                </c:pt>
                <c:pt idx="9">
                  <c:v>0.2444018478406717</c:v>
                </c:pt>
                <c:pt idx="10">
                  <c:v>0.352058587368829</c:v>
                </c:pt>
                <c:pt idx="11">
                  <c:v>0.72238700784948917</c:v>
                </c:pt>
                <c:pt idx="12">
                  <c:v>0.36539011370939178</c:v>
                </c:pt>
                <c:pt idx="13">
                  <c:v>0.63142880875250684</c:v>
                </c:pt>
                <c:pt idx="14">
                  <c:v>0.59433579995449581</c:v>
                </c:pt>
                <c:pt idx="15">
                  <c:v>0.279527405497351</c:v>
                </c:pt>
                <c:pt idx="16">
                  <c:v>0.2069721322368967</c:v>
                </c:pt>
                <c:pt idx="17">
                  <c:v>0.22688097018024755</c:v>
                </c:pt>
                <c:pt idx="18">
                  <c:v>0.74068974110004548</c:v>
                </c:pt>
                <c:pt idx="19">
                  <c:v>0.55491652130575631</c:v>
                </c:pt>
                <c:pt idx="20">
                  <c:v>0.4429798806054237</c:v>
                </c:pt>
                <c:pt idx="21">
                  <c:v>0.61859629281757367</c:v>
                </c:pt>
                <c:pt idx="22">
                  <c:v>0.31155898502281371</c:v>
                </c:pt>
                <c:pt idx="23">
                  <c:v>0.22402691253426357</c:v>
                </c:pt>
                <c:pt idx="24">
                  <c:v>0.27000477614419799</c:v>
                </c:pt>
                <c:pt idx="25">
                  <c:v>0.41817475557379691</c:v>
                </c:pt>
                <c:pt idx="26">
                  <c:v>0.28104046464375393</c:v>
                </c:pt>
                <c:pt idx="27">
                  <c:v>0.34907532661706597</c:v>
                </c:pt>
                <c:pt idx="28">
                  <c:v>0.22337460072944751</c:v>
                </c:pt>
                <c:pt idx="29">
                  <c:v>0.30476190476190479</c:v>
                </c:pt>
                <c:pt idx="30">
                  <c:v>0.52676124025488591</c:v>
                </c:pt>
                <c:pt idx="31">
                  <c:v>0.54113150119255282</c:v>
                </c:pt>
                <c:pt idx="32">
                  <c:v>0.52395903788876619</c:v>
                </c:pt>
                <c:pt idx="33">
                  <c:v>0.54191253426364305</c:v>
                </c:pt>
                <c:pt idx="34">
                  <c:v>0.46762626726297429</c:v>
                </c:pt>
                <c:pt idx="35">
                  <c:v>0.61535397887898813</c:v>
                </c:pt>
              </c:numCache>
            </c:numRef>
          </c:xVal>
          <c:yVal>
            <c:numRef>
              <c:f>kraljic!$K$2:$K$37</c:f>
              <c:numCache>
                <c:formatCode>0.00</c:formatCode>
                <c:ptCount val="36"/>
                <c:pt idx="0">
                  <c:v>0.49041546701658473</c:v>
                </c:pt>
                <c:pt idx="1">
                  <c:v>0.48226640930101361</c:v>
                </c:pt>
                <c:pt idx="2">
                  <c:v>0.45193560673357036</c:v>
                </c:pt>
                <c:pt idx="3">
                  <c:v>0.21978448157637437</c:v>
                </c:pt>
                <c:pt idx="4">
                  <c:v>0.21196340328173607</c:v>
                </c:pt>
                <c:pt idx="5">
                  <c:v>0.58000000000000007</c:v>
                </c:pt>
                <c:pt idx="6">
                  <c:v>0.18834863870645971</c:v>
                </c:pt>
                <c:pt idx="7">
                  <c:v>0.21314947957181996</c:v>
                </c:pt>
                <c:pt idx="8">
                  <c:v>0.45846110935775386</c:v>
                </c:pt>
                <c:pt idx="9">
                  <c:v>0.47208030194783634</c:v>
                </c:pt>
                <c:pt idx="10">
                  <c:v>0.39029554564154689</c:v>
                </c:pt>
                <c:pt idx="11">
                  <c:v>0.56659624321905055</c:v>
                </c:pt>
                <c:pt idx="12">
                  <c:v>0.76940105394902236</c:v>
                </c:pt>
                <c:pt idx="13">
                  <c:v>0.76494496857445538</c:v>
                </c:pt>
                <c:pt idx="14">
                  <c:v>0.79702782499036673</c:v>
                </c:pt>
                <c:pt idx="15">
                  <c:v>0.45840092718462006</c:v>
                </c:pt>
                <c:pt idx="16">
                  <c:v>0.50078326448928123</c:v>
                </c:pt>
                <c:pt idx="17">
                  <c:v>0.48032811563527056</c:v>
                </c:pt>
                <c:pt idx="18">
                  <c:v>0.57241043106511791</c:v>
                </c:pt>
                <c:pt idx="19">
                  <c:v>0.77489756454241976</c:v>
                </c:pt>
                <c:pt idx="20">
                  <c:v>0.78386543715138446</c:v>
                </c:pt>
                <c:pt idx="21">
                  <c:v>0.77946544559450759</c:v>
                </c:pt>
                <c:pt idx="22">
                  <c:v>0.22902046897696926</c:v>
                </c:pt>
                <c:pt idx="23">
                  <c:v>0.20155711876420371</c:v>
                </c:pt>
                <c:pt idx="24">
                  <c:v>0.48811283657855831</c:v>
                </c:pt>
                <c:pt idx="25">
                  <c:v>0.45623446918392646</c:v>
                </c:pt>
                <c:pt idx="26">
                  <c:v>0.48610239012606371</c:v>
                </c:pt>
                <c:pt idx="27">
                  <c:v>0.2306026082335868</c:v>
                </c:pt>
                <c:pt idx="28">
                  <c:v>0.21178295256248936</c:v>
                </c:pt>
                <c:pt idx="29">
                  <c:v>0.77761444111014688</c:v>
                </c:pt>
                <c:pt idx="30">
                  <c:v>0.75451084053028339</c:v>
                </c:pt>
                <c:pt idx="31">
                  <c:v>0.77762232236498519</c:v>
                </c:pt>
                <c:pt idx="32">
                  <c:v>0.74176548406252862</c:v>
                </c:pt>
                <c:pt idx="33">
                  <c:v>0.73091845944887934</c:v>
                </c:pt>
                <c:pt idx="34">
                  <c:v>0.75857780386153084</c:v>
                </c:pt>
                <c:pt idx="35">
                  <c:v>0.56870238675605578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3B-DB42-A0EE-15746FDCA7C9}"/>
            </c:ext>
          </c:extLst>
        </c:ser>
        <c:ser>
          <c:idx val="1"/>
          <c:order val="1"/>
          <c:tx>
            <c:v>profit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Pt>
            <c:idx val="1"/>
            <c:marker>
              <c:symbol val="square"/>
              <c:size val="6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  <a:round/>
                </a:ln>
                <a:effectLst/>
              </c:spPr>
            </c:marker>
            <c:bubble3D val="0"/>
            <c:spPr>
              <a:ln w="22225" cap="rnd">
                <a:solidFill>
                  <a:srgbClr val="AEAEAE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E83B-DB42-A0EE-15746FDCA7C9}"/>
              </c:ext>
            </c:extLst>
          </c:dPt>
          <c:xVal>
            <c:numLit>
              <c:formatCode>General</c:formatCode>
              <c:ptCount val="2"/>
              <c:pt idx="0">
                <c:v>0</c:v>
              </c:pt>
              <c:pt idx="1">
                <c:v>0.75</c:v>
              </c:pt>
            </c:numLit>
          </c:xVal>
          <c:yVal>
            <c:numLit>
              <c:formatCode>General</c:formatCode>
              <c:ptCount val="2"/>
              <c:pt idx="0">
                <c:v>0.4</c:v>
              </c:pt>
              <c:pt idx="1">
                <c:v>0.4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E83B-DB42-A0EE-15746FDCA7C9}"/>
            </c:ext>
          </c:extLst>
        </c:ser>
        <c:ser>
          <c:idx val="2"/>
          <c:order val="2"/>
          <c:tx>
            <c:v>risk</c:v>
          </c:tx>
          <c:spPr>
            <a:ln w="2222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Lit>
              <c:formatCode>General</c:formatCode>
              <c:ptCount val="2"/>
              <c:pt idx="0">
                <c:v>0.35</c:v>
              </c:pt>
              <c:pt idx="1">
                <c:v>0.35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0.95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E83B-DB42-A0EE-15746FDCA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732303"/>
        <c:axId val="729734031"/>
      </c:scatterChart>
      <c:valAx>
        <c:axId val="729732303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Risk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734031"/>
        <c:crosses val="autoZero"/>
        <c:crossBetween val="midCat"/>
      </c:valAx>
      <c:valAx>
        <c:axId val="72973403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732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_xlchart.v2.7</cx:f>
      </cx:strDim>
      <cx:numDim type="val">
        <cx:f dir="row">_xlchart.v2.6</cx:f>
      </cx:numDim>
    </cx:data>
  </cx:chartData>
  <cx:chart>
    <cx:title pos="t" align="ctr" overlay="0">
      <cx:tx>
        <cx:txData>
          <cx:v>Risk By Region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Risk By Region</a:t>
          </a:r>
        </a:p>
      </cx:txPr>
    </cx:title>
    <cx:plotArea>
      <cx:plotAreaRegion>
        <cx:series layoutId="funnel" uniqueId="{83A054A7-9E37-3D4A-B451-CCA96FB4E7E2}">
          <cx:spPr>
            <a:solidFill>
              <a:schemeClr val="accent4">
                <a:lumMod val="60000"/>
                <a:lumOff val="40000"/>
              </a:schemeClr>
            </a:solidFill>
          </cx:spPr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0</xdr:rowOff>
    </xdr:from>
    <xdr:to>
      <xdr:col>8</xdr:col>
      <xdr:colOff>795663</xdr:colOff>
      <xdr:row>37</xdr:row>
      <xdr:rowOff>15301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7B541D-6C8D-EE4B-B84F-856B3A4D81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</xdr:row>
      <xdr:rowOff>202658</xdr:rowOff>
    </xdr:from>
    <xdr:to>
      <xdr:col>8</xdr:col>
      <xdr:colOff>783618</xdr:colOff>
      <xdr:row>17</xdr:row>
      <xdr:rowOff>202658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636F7CA-9506-A241-B245-33BD8E31BE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</xdr:row>
      <xdr:rowOff>202658</xdr:rowOff>
    </xdr:from>
    <xdr:to>
      <xdr:col>17</xdr:col>
      <xdr:colOff>13511</xdr:colOff>
      <xdr:row>18</xdr:row>
      <xdr:rowOff>27021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5A07C97B-2D5F-3B4B-A3F6-E5721224CB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41489" y="405318"/>
              <a:ext cx="6633724" cy="3269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824148</xdr:colOff>
      <xdr:row>20</xdr:row>
      <xdr:rowOff>0</xdr:rowOff>
    </xdr:from>
    <xdr:to>
      <xdr:col>17</xdr:col>
      <xdr:colOff>40531</xdr:colOff>
      <xdr:row>36</xdr:row>
      <xdr:rowOff>201096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172C314-AF3A-A2CE-0614-1C15DDFAF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41488" y="4053191"/>
          <a:ext cx="6660745" cy="3443650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0.74686</cdr:x>
      <cdr:y>0.27016</cdr:y>
    </cdr:from>
    <cdr:to>
      <cdr:x>0.94497</cdr:x>
      <cdr:y>0.33388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866C53F-6F0D-F951-95B2-4224CBD3C45E}"/>
            </a:ext>
          </a:extLst>
        </cdr:cNvPr>
        <cdr:cNvSpPr txBox="1"/>
      </cdr:nvSpPr>
      <cdr:spPr>
        <a:xfrm xmlns:a="http://schemas.openxmlformats.org/drawingml/2006/main">
          <a:off x="4248239" y="948028"/>
          <a:ext cx="1126902" cy="2235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0.27684</cdr:x>
      <cdr:y>0.33903</cdr:y>
    </cdr:from>
    <cdr:to>
      <cdr:x>0.49369</cdr:x>
      <cdr:y>0.40889</cdr:y>
    </cdr:to>
    <cdr:sp macro="" textlink="">
      <cdr:nvSpPr>
        <cdr:cNvPr id="3" name="TextBox 7">
          <a:extLst xmlns:a="http://schemas.openxmlformats.org/drawingml/2006/main">
            <a:ext uri="{FF2B5EF4-FFF2-40B4-BE49-F238E27FC236}">
              <a16:creationId xmlns:a16="http://schemas.microsoft.com/office/drawing/2014/main" id="{79159309-5662-72F3-160A-450B2536B468}"/>
            </a:ext>
          </a:extLst>
        </cdr:cNvPr>
        <cdr:cNvSpPr txBox="1"/>
      </cdr:nvSpPr>
      <cdr:spPr>
        <a:xfrm xmlns:a="http://schemas.openxmlformats.org/drawingml/2006/main">
          <a:off x="1583022" y="1182713"/>
          <a:ext cx="1239992" cy="24372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>
            <a:alpha val="0"/>
          </a:schemeClr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/>
            <a:t>Leverage</a:t>
          </a:r>
        </a:p>
      </cdr:txBody>
    </cdr:sp>
  </cdr:relSizeAnchor>
  <cdr:relSizeAnchor xmlns:cdr="http://schemas.openxmlformats.org/drawingml/2006/chartDrawing">
    <cdr:from>
      <cdr:x>0.56059</cdr:x>
      <cdr:y>0.64139</cdr:y>
    </cdr:from>
    <cdr:to>
      <cdr:x>0.81178</cdr:x>
      <cdr:y>0.74209</cdr:y>
    </cdr:to>
    <cdr:sp macro="" textlink="">
      <cdr:nvSpPr>
        <cdr:cNvPr id="5" name="TextBox 7">
          <a:extLst xmlns:a="http://schemas.openxmlformats.org/drawingml/2006/main">
            <a:ext uri="{FF2B5EF4-FFF2-40B4-BE49-F238E27FC236}">
              <a16:creationId xmlns:a16="http://schemas.microsoft.com/office/drawing/2014/main" id="{79159309-5662-72F3-160A-450B2536B468}"/>
            </a:ext>
          </a:extLst>
        </cdr:cNvPr>
        <cdr:cNvSpPr txBox="1"/>
      </cdr:nvSpPr>
      <cdr:spPr>
        <a:xfrm xmlns:a="http://schemas.openxmlformats.org/drawingml/2006/main">
          <a:off x="3205560" y="2237503"/>
          <a:ext cx="1436351" cy="3513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/>
            <a:t>Bottleneck</a:t>
          </a:r>
          <a:endParaRPr lang="en-US" sz="1100" b="1"/>
        </a:p>
      </cdr:txBody>
    </cdr:sp>
  </cdr:relSizeAnchor>
  <cdr:relSizeAnchor xmlns:cdr="http://schemas.openxmlformats.org/drawingml/2006/chartDrawing">
    <cdr:from>
      <cdr:x>0.56789</cdr:x>
      <cdr:y>0.34159</cdr:y>
    </cdr:from>
    <cdr:to>
      <cdr:x>0.78475</cdr:x>
      <cdr:y>0.41146</cdr:y>
    </cdr:to>
    <cdr:sp macro="" textlink="">
      <cdr:nvSpPr>
        <cdr:cNvPr id="6" name="TextBox 7">
          <a:extLst xmlns:a="http://schemas.openxmlformats.org/drawingml/2006/main">
            <a:ext uri="{FF2B5EF4-FFF2-40B4-BE49-F238E27FC236}">
              <a16:creationId xmlns:a16="http://schemas.microsoft.com/office/drawing/2014/main" id="{F28C25C7-3497-546D-915A-2C5E6D1FE8C8}"/>
            </a:ext>
          </a:extLst>
        </cdr:cNvPr>
        <cdr:cNvSpPr txBox="1"/>
      </cdr:nvSpPr>
      <cdr:spPr>
        <a:xfrm xmlns:a="http://schemas.openxmlformats.org/drawingml/2006/main">
          <a:off x="3247325" y="1191647"/>
          <a:ext cx="1239992" cy="24372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>
            <a:alpha val="0"/>
          </a:schemeClr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/>
            <a:t>Strategic</a:t>
          </a:r>
        </a:p>
      </cdr:txBody>
    </cdr:sp>
  </cdr:relSizeAnchor>
  <cdr:relSizeAnchor xmlns:cdr="http://schemas.openxmlformats.org/drawingml/2006/chartDrawing">
    <cdr:from>
      <cdr:x>0.265</cdr:x>
      <cdr:y>0.63024</cdr:y>
    </cdr:from>
    <cdr:to>
      <cdr:x>0.45103</cdr:x>
      <cdr:y>0.69906</cdr:y>
    </cdr:to>
    <cdr:sp macro="" textlink="">
      <cdr:nvSpPr>
        <cdr:cNvPr id="4" name="TextBox 7">
          <a:extLst xmlns:a="http://schemas.openxmlformats.org/drawingml/2006/main">
            <a:ext uri="{FF2B5EF4-FFF2-40B4-BE49-F238E27FC236}">
              <a16:creationId xmlns:a16="http://schemas.microsoft.com/office/drawing/2014/main" id="{79159309-5662-72F3-160A-450B2536B468}"/>
            </a:ext>
          </a:extLst>
        </cdr:cNvPr>
        <cdr:cNvSpPr txBox="1"/>
      </cdr:nvSpPr>
      <cdr:spPr>
        <a:xfrm xmlns:a="http://schemas.openxmlformats.org/drawingml/2006/main">
          <a:off x="1515560" y="2192261"/>
          <a:ext cx="1063984" cy="23936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>
            <a:alpha val="0"/>
          </a:schemeClr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/>
            <a:t>Non-critical</a:t>
          </a:r>
          <a:endParaRPr lang="en-US" sz="1100" b="1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814783</xdr:colOff>
      <xdr:row>20</xdr:row>
      <xdr:rowOff>15766</xdr:rowOff>
    </xdr:from>
    <xdr:to>
      <xdr:col>21</xdr:col>
      <xdr:colOff>226016</xdr:colOff>
      <xdr:row>37</xdr:row>
      <xdr:rowOff>27930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59D09E5-97B1-DE1B-D0E2-1E6F126626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0.74686</cdr:x>
      <cdr:y>0.27016</cdr:y>
    </cdr:from>
    <cdr:to>
      <cdr:x>0.94497</cdr:x>
      <cdr:y>0.33388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866C53F-6F0D-F951-95B2-4224CBD3C45E}"/>
            </a:ext>
          </a:extLst>
        </cdr:cNvPr>
        <cdr:cNvSpPr txBox="1"/>
      </cdr:nvSpPr>
      <cdr:spPr>
        <a:xfrm xmlns:a="http://schemas.openxmlformats.org/drawingml/2006/main">
          <a:off x="4248239" y="948028"/>
          <a:ext cx="1126902" cy="2235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0.27684</cdr:x>
      <cdr:y>0.33903</cdr:y>
    </cdr:from>
    <cdr:to>
      <cdr:x>0.49369</cdr:x>
      <cdr:y>0.40889</cdr:y>
    </cdr:to>
    <cdr:sp macro="" textlink="">
      <cdr:nvSpPr>
        <cdr:cNvPr id="3" name="TextBox 7">
          <a:extLst xmlns:a="http://schemas.openxmlformats.org/drawingml/2006/main">
            <a:ext uri="{FF2B5EF4-FFF2-40B4-BE49-F238E27FC236}">
              <a16:creationId xmlns:a16="http://schemas.microsoft.com/office/drawing/2014/main" id="{79159309-5662-72F3-160A-450B2536B468}"/>
            </a:ext>
          </a:extLst>
        </cdr:cNvPr>
        <cdr:cNvSpPr txBox="1"/>
      </cdr:nvSpPr>
      <cdr:spPr>
        <a:xfrm xmlns:a="http://schemas.openxmlformats.org/drawingml/2006/main">
          <a:off x="1583022" y="1182713"/>
          <a:ext cx="1239992" cy="24372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>
            <a:alpha val="0"/>
          </a:schemeClr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/>
            <a:t>Leverage</a:t>
          </a:r>
        </a:p>
      </cdr:txBody>
    </cdr:sp>
  </cdr:relSizeAnchor>
  <cdr:relSizeAnchor xmlns:cdr="http://schemas.openxmlformats.org/drawingml/2006/chartDrawing">
    <cdr:from>
      <cdr:x>0.56059</cdr:x>
      <cdr:y>0.64139</cdr:y>
    </cdr:from>
    <cdr:to>
      <cdr:x>0.81178</cdr:x>
      <cdr:y>0.74209</cdr:y>
    </cdr:to>
    <cdr:sp macro="" textlink="">
      <cdr:nvSpPr>
        <cdr:cNvPr id="5" name="TextBox 7">
          <a:extLst xmlns:a="http://schemas.openxmlformats.org/drawingml/2006/main">
            <a:ext uri="{FF2B5EF4-FFF2-40B4-BE49-F238E27FC236}">
              <a16:creationId xmlns:a16="http://schemas.microsoft.com/office/drawing/2014/main" id="{79159309-5662-72F3-160A-450B2536B468}"/>
            </a:ext>
          </a:extLst>
        </cdr:cNvPr>
        <cdr:cNvSpPr txBox="1"/>
      </cdr:nvSpPr>
      <cdr:spPr>
        <a:xfrm xmlns:a="http://schemas.openxmlformats.org/drawingml/2006/main">
          <a:off x="3205560" y="2237503"/>
          <a:ext cx="1436351" cy="3513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/>
            <a:t>Bottleneck</a:t>
          </a:r>
          <a:endParaRPr lang="en-US" sz="1100" b="1"/>
        </a:p>
      </cdr:txBody>
    </cdr:sp>
  </cdr:relSizeAnchor>
  <cdr:relSizeAnchor xmlns:cdr="http://schemas.openxmlformats.org/drawingml/2006/chartDrawing">
    <cdr:from>
      <cdr:x>0.56789</cdr:x>
      <cdr:y>0.34159</cdr:y>
    </cdr:from>
    <cdr:to>
      <cdr:x>0.78475</cdr:x>
      <cdr:y>0.41146</cdr:y>
    </cdr:to>
    <cdr:sp macro="" textlink="">
      <cdr:nvSpPr>
        <cdr:cNvPr id="6" name="TextBox 7">
          <a:extLst xmlns:a="http://schemas.openxmlformats.org/drawingml/2006/main">
            <a:ext uri="{FF2B5EF4-FFF2-40B4-BE49-F238E27FC236}">
              <a16:creationId xmlns:a16="http://schemas.microsoft.com/office/drawing/2014/main" id="{F28C25C7-3497-546D-915A-2C5E6D1FE8C8}"/>
            </a:ext>
          </a:extLst>
        </cdr:cNvPr>
        <cdr:cNvSpPr txBox="1"/>
      </cdr:nvSpPr>
      <cdr:spPr>
        <a:xfrm xmlns:a="http://schemas.openxmlformats.org/drawingml/2006/main">
          <a:off x="3247325" y="1191647"/>
          <a:ext cx="1239992" cy="24372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>
            <a:alpha val="0"/>
          </a:schemeClr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/>
            <a:t>Strategic</a:t>
          </a:r>
        </a:p>
      </cdr:txBody>
    </cdr:sp>
  </cdr:relSizeAnchor>
  <cdr:relSizeAnchor xmlns:cdr="http://schemas.openxmlformats.org/drawingml/2006/chartDrawing">
    <cdr:from>
      <cdr:x>0.265</cdr:x>
      <cdr:y>0.63024</cdr:y>
    </cdr:from>
    <cdr:to>
      <cdr:x>0.45103</cdr:x>
      <cdr:y>0.69906</cdr:y>
    </cdr:to>
    <cdr:sp macro="" textlink="">
      <cdr:nvSpPr>
        <cdr:cNvPr id="4" name="TextBox 7">
          <a:extLst xmlns:a="http://schemas.openxmlformats.org/drawingml/2006/main">
            <a:ext uri="{FF2B5EF4-FFF2-40B4-BE49-F238E27FC236}">
              <a16:creationId xmlns:a16="http://schemas.microsoft.com/office/drawing/2014/main" id="{79159309-5662-72F3-160A-450B2536B468}"/>
            </a:ext>
          </a:extLst>
        </cdr:cNvPr>
        <cdr:cNvSpPr txBox="1"/>
      </cdr:nvSpPr>
      <cdr:spPr>
        <a:xfrm xmlns:a="http://schemas.openxmlformats.org/drawingml/2006/main">
          <a:off x="1515560" y="2192261"/>
          <a:ext cx="1063984" cy="23936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>
            <a:alpha val="0"/>
          </a:schemeClr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/>
            <a:t>Non-critical</a:t>
          </a:r>
          <a:endParaRPr lang="en-US" sz="1100" b="1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51.620616898152" createdVersion="8" refreshedVersion="8" minRefreshableVersion="3" recordCount="1000" xr:uid="{E3D98F56-7561-2A4E-8713-CBAFB489B38F}">
  <cacheSource type="worksheet">
    <worksheetSource ref="A1:K1001" sheet="data"/>
  </cacheSource>
  <cacheFields count="12">
    <cacheField name="Product_ID" numFmtId="0">
      <sharedItems/>
    </cacheField>
    <cacheField name="Product_Name" numFmtId="0">
      <sharedItems/>
    </cacheField>
    <cacheField name="Supplier_Region" numFmtId="0">
      <sharedItems/>
    </cacheField>
    <cacheField name="Supplier_Id" numFmtId="0">
      <sharedItems count="36">
        <s v="Semiconductors_South America"/>
        <s v="Pharma APIs_Asia"/>
        <s v="Lithium Batteries_Asia"/>
        <s v="AI Chips_Asia"/>
        <s v="Lithium Batteries_South America"/>
        <s v="AI Chips_South America"/>
        <s v="Semiconductors_Africa"/>
        <s v="Pharma APIs_Africa"/>
        <s v="Lithium Batteries_Africa"/>
        <s v="Pharma APIs_South America"/>
        <s v="AI Chips_Africa"/>
        <s v="Semiconductors_Asia"/>
        <s v="Cleaning Supplies_Asia"/>
        <s v="Customized Valves_Asia"/>
        <s v="Rare Earth Metals_Europe"/>
        <s v="Rare Earth Metals_Asia"/>
        <s v="Specialty Gases_Europe"/>
        <s v="Catalysts_Europe"/>
        <s v="Specialty Gases_Asia"/>
        <s v="Customized Valves_Europe"/>
        <s v="Catalysts_Asia"/>
        <s v="Standard Bolts_North America"/>
        <s v="PVC Pipes_North America"/>
        <s v="Packaging Material_Asia"/>
        <s v="Steel Beams_Europe"/>
        <s v="Packaging Material_Europe"/>
        <s v="PVC Pipes_Asia"/>
        <s v="Steel Beams_Asia"/>
        <s v="Standard Bolts_Europe"/>
        <s v="Packaging Material_North America"/>
        <s v="PVC Pipes_Europe"/>
        <s v="Steel Beams_North America"/>
        <s v="Standard Bolts_Asia"/>
        <s v="Uniforms_North America"/>
        <s v="Printer Ink_North America"/>
        <s v="Office Stationery_Europe"/>
      </sharedItems>
    </cacheField>
    <cacheField name="Lead_Time_Days" numFmtId="0">
      <sharedItems containsSemiMixedTypes="0" containsString="0" containsNumber="1" containsInteger="1" minValue="7" maxValue="89"/>
    </cacheField>
    <cacheField name="Order_Volume_Units" numFmtId="0">
      <sharedItems containsSemiMixedTypes="0" containsString="0" containsNumber="1" containsInteger="1" minValue="50" maxValue="19940"/>
    </cacheField>
    <cacheField name="Cost_per_Unit" numFmtId="0">
      <sharedItems containsSemiMixedTypes="0" containsString="0" containsNumber="1" minValue="10.09" maxValue="499.32"/>
    </cacheField>
    <cacheField name="Supply_Risk_Score" numFmtId="0">
      <sharedItems containsSemiMixedTypes="0" containsString="0" containsNumber="1" containsInteger="1" minValue="1" maxValue="5"/>
    </cacheField>
    <cacheField name="Profit_Impact_Score" numFmtId="0">
      <sharedItems containsSemiMixedTypes="0" containsString="0" containsNumber="1" containsInteger="1" minValue="1" maxValue="5"/>
    </cacheField>
    <cacheField name="Environmental_Impact" numFmtId="0">
      <sharedItems containsSemiMixedTypes="0" containsString="0" containsNumber="1" containsInteger="1" minValue="1" maxValue="5"/>
    </cacheField>
    <cacheField name="Single_Source_Risk" numFmtId="0">
      <sharedItems containsSemiMixedTypes="0" containsString="0" containsNumber="1" containsInteger="1" minValue="0" maxValue="1"/>
    </cacheField>
    <cacheField name="Kraljic_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P001"/>
    <s v="Semiconductors"/>
    <s v="South America"/>
    <x v="0"/>
    <n v="81"/>
    <n v="171"/>
    <n v="255.03"/>
    <n v="5"/>
    <n v="5"/>
    <n v="4"/>
    <n v="0"/>
    <s v="Strategic"/>
  </r>
  <r>
    <s v="P002"/>
    <s v="Semiconductors"/>
    <s v="South America"/>
    <x v="0"/>
    <n v="8"/>
    <n v="763"/>
    <n v="380.33"/>
    <n v="5"/>
    <n v="4"/>
    <n v="4"/>
    <n v="0"/>
    <s v="Strategic"/>
  </r>
  <r>
    <s v="P003"/>
    <s v="Pharma APIs"/>
    <s v="Asia"/>
    <x v="1"/>
    <n v="65"/>
    <n v="413"/>
    <n v="385.24"/>
    <n v="4"/>
    <n v="5"/>
    <n v="5"/>
    <n v="0"/>
    <s v="Strategic"/>
  </r>
  <r>
    <s v="P004"/>
    <s v="Semiconductors"/>
    <s v="South America"/>
    <x v="0"/>
    <n v="70"/>
    <n v="882"/>
    <n v="287.64"/>
    <n v="5"/>
    <n v="5"/>
    <n v="5"/>
    <n v="0"/>
    <s v="Strategic"/>
  </r>
  <r>
    <s v="P005"/>
    <s v="Lithium Batteries"/>
    <s v="Asia"/>
    <x v="2"/>
    <n v="15"/>
    <n v="120"/>
    <n v="382.26"/>
    <n v="4"/>
    <n v="4"/>
    <n v="4"/>
    <n v="0"/>
    <s v="Strategic"/>
  </r>
  <r>
    <s v="P006"/>
    <s v="AI Chips"/>
    <s v="Asia"/>
    <x v="3"/>
    <n v="84"/>
    <n v="466"/>
    <n v="405.27"/>
    <n v="5"/>
    <n v="5"/>
    <n v="5"/>
    <n v="0"/>
    <s v="Strategic"/>
  </r>
  <r>
    <s v="P007"/>
    <s v="Lithium Batteries"/>
    <s v="South America"/>
    <x v="4"/>
    <n v="69"/>
    <n v="101"/>
    <n v="398.76"/>
    <n v="5"/>
    <n v="4"/>
    <n v="5"/>
    <n v="0"/>
    <s v="Strategic"/>
  </r>
  <r>
    <s v="P008"/>
    <s v="AI Chips"/>
    <s v="South America"/>
    <x v="5"/>
    <n v="68"/>
    <n v="369"/>
    <n v="481.85"/>
    <n v="5"/>
    <n v="4"/>
    <n v="4"/>
    <n v="0"/>
    <s v="Strategic"/>
  </r>
  <r>
    <s v="P009"/>
    <s v="Pharma APIs"/>
    <s v="Asia"/>
    <x v="1"/>
    <n v="35"/>
    <n v="978"/>
    <n v="424.2"/>
    <n v="3"/>
    <n v="4"/>
    <n v="4"/>
    <n v="0"/>
    <s v="Strategic"/>
  </r>
  <r>
    <s v="P010"/>
    <s v="Semiconductors"/>
    <s v="Africa"/>
    <x v="6"/>
    <n v="87"/>
    <n v="620"/>
    <n v="204.69"/>
    <n v="5"/>
    <n v="5"/>
    <n v="5"/>
    <n v="0"/>
    <s v="Strategic"/>
  </r>
  <r>
    <s v="P011"/>
    <s v="Pharma APIs"/>
    <s v="Asia"/>
    <x v="1"/>
    <n v="78"/>
    <n v="872"/>
    <n v="431.38"/>
    <n v="5"/>
    <n v="3"/>
    <n v="5"/>
    <n v="0"/>
    <s v="Strategic"/>
  </r>
  <r>
    <s v="P012"/>
    <s v="Pharma APIs"/>
    <s v="Africa"/>
    <x v="7"/>
    <n v="41"/>
    <n v="506"/>
    <n v="219.07"/>
    <n v="5"/>
    <n v="5"/>
    <n v="5"/>
    <n v="0"/>
    <s v="Strategic"/>
  </r>
  <r>
    <s v="P013"/>
    <s v="Lithium Batteries"/>
    <s v="Africa"/>
    <x v="8"/>
    <n v="33"/>
    <n v="742"/>
    <n v="491.51"/>
    <n v="5"/>
    <n v="4"/>
    <n v="4"/>
    <n v="0"/>
    <s v="Strategic"/>
  </r>
  <r>
    <s v="P014"/>
    <s v="Lithium Batteries"/>
    <s v="Africa"/>
    <x v="8"/>
    <n v="10"/>
    <n v="991"/>
    <n v="233.27"/>
    <n v="3"/>
    <n v="3"/>
    <n v="4"/>
    <n v="0"/>
    <s v="Strategic"/>
  </r>
  <r>
    <s v="P015"/>
    <s v="AI Chips"/>
    <s v="Asia"/>
    <x v="3"/>
    <n v="34"/>
    <n v="754"/>
    <n v="381.33"/>
    <n v="5"/>
    <n v="5"/>
    <n v="4"/>
    <n v="0"/>
    <s v="Strategic"/>
  </r>
  <r>
    <s v="P016"/>
    <s v="AI Chips"/>
    <s v="South America"/>
    <x v="5"/>
    <n v="68"/>
    <n v="745"/>
    <n v="288.69"/>
    <n v="5"/>
    <n v="5"/>
    <n v="5"/>
    <n v="0"/>
    <s v="Strategic"/>
  </r>
  <r>
    <s v="P017"/>
    <s v="Lithium Batteries"/>
    <s v="Africa"/>
    <x v="8"/>
    <n v="78"/>
    <n v="732"/>
    <n v="394.31"/>
    <n v="5"/>
    <n v="4"/>
    <n v="5"/>
    <n v="0"/>
    <s v="Strategic"/>
  </r>
  <r>
    <s v="P018"/>
    <s v="Semiconductors"/>
    <s v="Africa"/>
    <x v="6"/>
    <n v="38"/>
    <n v="918"/>
    <n v="266.63"/>
    <n v="5"/>
    <n v="5"/>
    <n v="5"/>
    <n v="0"/>
    <s v="Strategic"/>
  </r>
  <r>
    <s v="P019"/>
    <s v="Pharma APIs"/>
    <s v="South America"/>
    <x v="9"/>
    <n v="9"/>
    <n v="929"/>
    <n v="321.14999999999998"/>
    <n v="5"/>
    <n v="4"/>
    <n v="4"/>
    <n v="0"/>
    <s v="Strategic"/>
  </r>
  <r>
    <s v="P020"/>
    <s v="Lithium Batteries"/>
    <s v="South America"/>
    <x v="4"/>
    <n v="7"/>
    <n v="798"/>
    <n v="499.32"/>
    <n v="5"/>
    <n v="3"/>
    <n v="4"/>
    <n v="0"/>
    <s v="Strategic"/>
  </r>
  <r>
    <s v="P021"/>
    <s v="Semiconductors"/>
    <s v="Africa"/>
    <x v="6"/>
    <n v="62"/>
    <n v="829"/>
    <n v="359.28"/>
    <n v="5"/>
    <n v="5"/>
    <n v="5"/>
    <n v="0"/>
    <s v="Strategic"/>
  </r>
  <r>
    <s v="P022"/>
    <s v="Semiconductors"/>
    <s v="South America"/>
    <x v="0"/>
    <n v="22"/>
    <n v="936"/>
    <n v="440.94"/>
    <n v="5"/>
    <n v="5"/>
    <n v="5"/>
    <n v="0"/>
    <s v="Strategic"/>
  </r>
  <r>
    <s v="P023"/>
    <s v="Lithium Batteries"/>
    <s v="Africa"/>
    <x v="8"/>
    <n v="73"/>
    <n v="563"/>
    <n v="352.46"/>
    <n v="5"/>
    <n v="5"/>
    <n v="4"/>
    <n v="0"/>
    <s v="Strategic"/>
  </r>
  <r>
    <s v="P024"/>
    <s v="Semiconductors"/>
    <s v="Africa"/>
    <x v="6"/>
    <n v="17"/>
    <n v="919"/>
    <n v="393.55"/>
    <n v="4"/>
    <n v="4"/>
    <n v="4"/>
    <n v="0"/>
    <s v="Strategic"/>
  </r>
  <r>
    <s v="P025"/>
    <s v="Pharma APIs"/>
    <s v="Africa"/>
    <x v="7"/>
    <n v="66"/>
    <n v="514"/>
    <n v="262.72000000000003"/>
    <n v="4"/>
    <n v="3"/>
    <n v="5"/>
    <n v="0"/>
    <s v="Strategic"/>
  </r>
  <r>
    <s v="P026"/>
    <s v="Lithium Batteries"/>
    <s v="Africa"/>
    <x v="8"/>
    <n v="25"/>
    <n v="751"/>
    <n v="227.93"/>
    <n v="5"/>
    <n v="3"/>
    <n v="4"/>
    <n v="0"/>
    <s v="Strategic"/>
  </r>
  <r>
    <s v="P027"/>
    <s v="Pharma APIs"/>
    <s v="Africa"/>
    <x v="7"/>
    <n v="31"/>
    <n v="153"/>
    <n v="456.9"/>
    <n v="4"/>
    <n v="4"/>
    <n v="5"/>
    <n v="0"/>
    <s v="Strategic"/>
  </r>
  <r>
    <s v="P028"/>
    <s v="Lithium Batteries"/>
    <s v="Asia"/>
    <x v="2"/>
    <n v="74"/>
    <n v="805"/>
    <n v="291.61"/>
    <n v="4"/>
    <n v="4"/>
    <n v="5"/>
    <n v="0"/>
    <s v="Strategic"/>
  </r>
  <r>
    <s v="P029"/>
    <s v="Lithium Batteries"/>
    <s v="Africa"/>
    <x v="8"/>
    <n v="54"/>
    <n v="603"/>
    <n v="253.65"/>
    <n v="4"/>
    <n v="3"/>
    <n v="5"/>
    <n v="0"/>
    <s v="Strategic"/>
  </r>
  <r>
    <s v="P030"/>
    <s v="Pharma APIs"/>
    <s v="South America"/>
    <x v="9"/>
    <n v="60"/>
    <n v="121"/>
    <n v="390.9"/>
    <n v="3"/>
    <n v="5"/>
    <n v="5"/>
    <n v="0"/>
    <s v="Strategic"/>
  </r>
  <r>
    <s v="P031"/>
    <s v="Pharma APIs"/>
    <s v="Asia"/>
    <x v="1"/>
    <n v="54"/>
    <n v="897"/>
    <n v="438.44"/>
    <n v="3"/>
    <n v="3"/>
    <n v="4"/>
    <n v="0"/>
    <s v="Strategic"/>
  </r>
  <r>
    <s v="P032"/>
    <s v="Semiconductors"/>
    <s v="South America"/>
    <x v="0"/>
    <n v="12"/>
    <n v="611"/>
    <n v="430.57"/>
    <n v="4"/>
    <n v="4"/>
    <n v="4"/>
    <n v="0"/>
    <s v="Strategic"/>
  </r>
  <r>
    <s v="P033"/>
    <s v="Semiconductors"/>
    <s v="Africa"/>
    <x v="6"/>
    <n v="69"/>
    <n v="448"/>
    <n v="485.92"/>
    <n v="5"/>
    <n v="3"/>
    <n v="4"/>
    <n v="0"/>
    <s v="Strategic"/>
  </r>
  <r>
    <s v="P034"/>
    <s v="Lithium Batteries"/>
    <s v="Asia"/>
    <x v="2"/>
    <n v="60"/>
    <n v="355"/>
    <n v="455.34"/>
    <n v="4"/>
    <n v="5"/>
    <n v="4"/>
    <n v="0"/>
    <s v="Strategic"/>
  </r>
  <r>
    <s v="P035"/>
    <s v="AI Chips"/>
    <s v="Africa"/>
    <x v="10"/>
    <n v="33"/>
    <n v="725"/>
    <n v="221.12"/>
    <n v="4"/>
    <n v="5"/>
    <n v="5"/>
    <n v="0"/>
    <s v="Strategic"/>
  </r>
  <r>
    <s v="P036"/>
    <s v="AI Chips"/>
    <s v="Africa"/>
    <x v="10"/>
    <n v="32"/>
    <n v="492"/>
    <n v="422.23"/>
    <n v="4"/>
    <n v="5"/>
    <n v="4"/>
    <n v="0"/>
    <s v="Strategic"/>
  </r>
  <r>
    <s v="P037"/>
    <s v="Semiconductors"/>
    <s v="Asia"/>
    <x v="11"/>
    <n v="22"/>
    <n v="927"/>
    <n v="383.45"/>
    <n v="4"/>
    <n v="4"/>
    <n v="5"/>
    <n v="0"/>
    <s v="Strategic"/>
  </r>
  <r>
    <s v="P038"/>
    <s v="AI Chips"/>
    <s v="Africa"/>
    <x v="10"/>
    <n v="57"/>
    <n v="191"/>
    <n v="301.39999999999998"/>
    <n v="5"/>
    <n v="4"/>
    <n v="5"/>
    <n v="0"/>
    <s v="Strategic"/>
  </r>
  <r>
    <s v="P039"/>
    <s v="Lithium Batteries"/>
    <s v="Asia"/>
    <x v="2"/>
    <n v="21"/>
    <n v="249"/>
    <n v="494.55"/>
    <n v="5"/>
    <n v="4"/>
    <n v="5"/>
    <n v="0"/>
    <s v="Strategic"/>
  </r>
  <r>
    <s v="P040"/>
    <s v="AI Chips"/>
    <s v="Asia"/>
    <x v="3"/>
    <n v="53"/>
    <n v="363"/>
    <n v="298"/>
    <n v="5"/>
    <n v="5"/>
    <n v="4"/>
    <n v="0"/>
    <s v="Strategic"/>
  </r>
  <r>
    <s v="P041"/>
    <s v="Semiconductors"/>
    <s v="South America"/>
    <x v="0"/>
    <n v="69"/>
    <n v="368"/>
    <n v="417.83"/>
    <n v="5"/>
    <n v="4"/>
    <n v="5"/>
    <n v="0"/>
    <s v="Strategic"/>
  </r>
  <r>
    <s v="P042"/>
    <s v="Semiconductors"/>
    <s v="Africa"/>
    <x v="6"/>
    <n v="18"/>
    <n v="840"/>
    <n v="223.54"/>
    <n v="5"/>
    <n v="4"/>
    <n v="5"/>
    <n v="0"/>
    <s v="Strategic"/>
  </r>
  <r>
    <s v="P043"/>
    <s v="Lithium Batteries"/>
    <s v="South America"/>
    <x v="4"/>
    <n v="7"/>
    <n v="850"/>
    <n v="474.56"/>
    <n v="3"/>
    <n v="4"/>
    <n v="5"/>
    <n v="0"/>
    <s v="Strategic"/>
  </r>
  <r>
    <s v="P044"/>
    <s v="Pharma APIs"/>
    <s v="Africa"/>
    <x v="7"/>
    <n v="63"/>
    <n v="680"/>
    <n v="397.13"/>
    <n v="4"/>
    <n v="5"/>
    <n v="5"/>
    <n v="0"/>
    <s v="Strategic"/>
  </r>
  <r>
    <s v="P045"/>
    <s v="Lithium Batteries"/>
    <s v="Asia"/>
    <x v="2"/>
    <n v="54"/>
    <n v="193"/>
    <n v="213.8"/>
    <n v="5"/>
    <n v="5"/>
    <n v="5"/>
    <n v="0"/>
    <s v="Strategic"/>
  </r>
  <r>
    <s v="P046"/>
    <s v="Lithium Batteries"/>
    <s v="South America"/>
    <x v="4"/>
    <n v="40"/>
    <n v="833"/>
    <n v="251.96"/>
    <n v="4"/>
    <n v="4"/>
    <n v="4"/>
    <n v="0"/>
    <s v="Strategic"/>
  </r>
  <r>
    <s v="P047"/>
    <s v="Pharma APIs"/>
    <s v="Asia"/>
    <x v="1"/>
    <n v="8"/>
    <n v="541"/>
    <n v="387.76"/>
    <n v="3"/>
    <n v="5"/>
    <n v="5"/>
    <n v="0"/>
    <s v="Strategic"/>
  </r>
  <r>
    <s v="P048"/>
    <s v="Lithium Batteries"/>
    <s v="Africa"/>
    <x v="8"/>
    <n v="67"/>
    <n v="951"/>
    <n v="390.92"/>
    <n v="4"/>
    <n v="4"/>
    <n v="5"/>
    <n v="0"/>
    <s v="Strategic"/>
  </r>
  <r>
    <s v="P049"/>
    <s v="Semiconductors"/>
    <s v="Africa"/>
    <x v="6"/>
    <n v="18"/>
    <n v="676"/>
    <n v="387.78"/>
    <n v="3"/>
    <n v="3"/>
    <n v="4"/>
    <n v="0"/>
    <s v="Strategic"/>
  </r>
  <r>
    <s v="P050"/>
    <s v="Semiconductors"/>
    <s v="South America"/>
    <x v="0"/>
    <n v="80"/>
    <n v="853"/>
    <n v="211.69"/>
    <n v="4"/>
    <n v="5"/>
    <n v="4"/>
    <n v="0"/>
    <s v="Strategic"/>
  </r>
  <r>
    <s v="P051"/>
    <s v="AI Chips"/>
    <s v="Asia"/>
    <x v="3"/>
    <n v="42"/>
    <n v="295"/>
    <n v="278.20999999999998"/>
    <n v="5"/>
    <n v="4"/>
    <n v="5"/>
    <n v="0"/>
    <s v="Strategic"/>
  </r>
  <r>
    <s v="P052"/>
    <s v="Lithium Batteries"/>
    <s v="Africa"/>
    <x v="8"/>
    <n v="42"/>
    <n v="493"/>
    <n v="284.61"/>
    <n v="3"/>
    <n v="5"/>
    <n v="4"/>
    <n v="0"/>
    <s v="Strategic"/>
  </r>
  <r>
    <s v="P053"/>
    <s v="AI Chips"/>
    <s v="Asia"/>
    <x v="3"/>
    <n v="29"/>
    <n v="762"/>
    <n v="374.16"/>
    <n v="5"/>
    <n v="3"/>
    <n v="5"/>
    <n v="0"/>
    <s v="Strategic"/>
  </r>
  <r>
    <s v="P054"/>
    <s v="Lithium Batteries"/>
    <s v="Asia"/>
    <x v="2"/>
    <n v="65"/>
    <n v="980"/>
    <n v="313.32"/>
    <n v="4"/>
    <n v="3"/>
    <n v="5"/>
    <n v="0"/>
    <s v="Strategic"/>
  </r>
  <r>
    <s v="P055"/>
    <s v="Semiconductors"/>
    <s v="Africa"/>
    <x v="6"/>
    <n v="58"/>
    <n v="332"/>
    <n v="203.25"/>
    <n v="4"/>
    <n v="5"/>
    <n v="4"/>
    <n v="0"/>
    <s v="Strategic"/>
  </r>
  <r>
    <s v="P056"/>
    <s v="Semiconductors"/>
    <s v="Africa"/>
    <x v="6"/>
    <n v="29"/>
    <n v="168"/>
    <n v="224.99"/>
    <n v="4"/>
    <n v="3"/>
    <n v="4"/>
    <n v="0"/>
    <s v="Strategic"/>
  </r>
  <r>
    <s v="P057"/>
    <s v="Pharma APIs"/>
    <s v="Africa"/>
    <x v="7"/>
    <n v="41"/>
    <n v="141"/>
    <n v="227.36"/>
    <n v="4"/>
    <n v="3"/>
    <n v="5"/>
    <n v="0"/>
    <s v="Strategic"/>
  </r>
  <r>
    <s v="P058"/>
    <s v="Semiconductors"/>
    <s v="South America"/>
    <x v="0"/>
    <n v="13"/>
    <n v="850"/>
    <n v="411.75"/>
    <n v="3"/>
    <n v="3"/>
    <n v="5"/>
    <n v="0"/>
    <s v="Strategic"/>
  </r>
  <r>
    <s v="P059"/>
    <s v="AI Chips"/>
    <s v="Asia"/>
    <x v="3"/>
    <n v="89"/>
    <n v="894"/>
    <n v="221.83"/>
    <n v="3"/>
    <n v="5"/>
    <n v="5"/>
    <n v="0"/>
    <s v="Strategic"/>
  </r>
  <r>
    <s v="P060"/>
    <s v="Pharma APIs"/>
    <s v="Asia"/>
    <x v="1"/>
    <n v="37"/>
    <n v="599"/>
    <n v="311.19"/>
    <n v="4"/>
    <n v="4"/>
    <n v="4"/>
    <n v="0"/>
    <s v="Strategic"/>
  </r>
  <r>
    <s v="P061"/>
    <s v="Semiconductors"/>
    <s v="Africa"/>
    <x v="6"/>
    <n v="51"/>
    <n v="190"/>
    <n v="367.52"/>
    <n v="4"/>
    <n v="5"/>
    <n v="5"/>
    <n v="0"/>
    <s v="Strategic"/>
  </r>
  <r>
    <s v="P062"/>
    <s v="Lithium Batteries"/>
    <s v="Africa"/>
    <x v="8"/>
    <n v="7"/>
    <n v="759"/>
    <n v="371.44"/>
    <n v="4"/>
    <n v="5"/>
    <n v="5"/>
    <n v="0"/>
    <s v="Strategic"/>
  </r>
  <r>
    <s v="P063"/>
    <s v="Semiconductors"/>
    <s v="Asia"/>
    <x v="11"/>
    <n v="12"/>
    <n v="290"/>
    <n v="488.65"/>
    <n v="4"/>
    <n v="4"/>
    <n v="5"/>
    <n v="0"/>
    <s v="Strategic"/>
  </r>
  <r>
    <s v="P064"/>
    <s v="AI Chips"/>
    <s v="South America"/>
    <x v="5"/>
    <n v="42"/>
    <n v="928"/>
    <n v="490.96"/>
    <n v="4"/>
    <n v="5"/>
    <n v="4"/>
    <n v="0"/>
    <s v="Strategic"/>
  </r>
  <r>
    <s v="P065"/>
    <s v="Semiconductors"/>
    <s v="Africa"/>
    <x v="6"/>
    <n v="60"/>
    <n v="146"/>
    <n v="222.63"/>
    <n v="5"/>
    <n v="4"/>
    <n v="4"/>
    <n v="0"/>
    <s v="Strategic"/>
  </r>
  <r>
    <s v="P066"/>
    <s v="AI Chips"/>
    <s v="South America"/>
    <x v="5"/>
    <n v="42"/>
    <n v="111"/>
    <n v="421.13"/>
    <n v="3"/>
    <n v="5"/>
    <n v="5"/>
    <n v="0"/>
    <s v="Strategic"/>
  </r>
  <r>
    <s v="P067"/>
    <s v="AI Chips"/>
    <s v="Africa"/>
    <x v="10"/>
    <n v="23"/>
    <n v="639"/>
    <n v="268.82"/>
    <n v="5"/>
    <n v="5"/>
    <n v="5"/>
    <n v="0"/>
    <s v="Strategic"/>
  </r>
  <r>
    <s v="P068"/>
    <s v="Lithium Batteries"/>
    <s v="South America"/>
    <x v="4"/>
    <n v="12"/>
    <n v="831"/>
    <n v="444.14"/>
    <n v="5"/>
    <n v="3"/>
    <n v="5"/>
    <n v="0"/>
    <s v="Strategic"/>
  </r>
  <r>
    <s v="P069"/>
    <s v="AI Chips"/>
    <s v="South America"/>
    <x v="5"/>
    <n v="11"/>
    <n v="549"/>
    <n v="374.35"/>
    <n v="5"/>
    <n v="4"/>
    <n v="5"/>
    <n v="0"/>
    <s v="Strategic"/>
  </r>
  <r>
    <s v="P070"/>
    <s v="Semiconductors"/>
    <s v="Africa"/>
    <x v="6"/>
    <n v="69"/>
    <n v="245"/>
    <n v="433.28"/>
    <n v="4"/>
    <n v="4"/>
    <n v="5"/>
    <n v="0"/>
    <s v="Strategic"/>
  </r>
  <r>
    <s v="P071"/>
    <s v="Lithium Batteries"/>
    <s v="Africa"/>
    <x v="8"/>
    <n v="27"/>
    <n v="560"/>
    <n v="452.64"/>
    <n v="5"/>
    <n v="3"/>
    <n v="4"/>
    <n v="0"/>
    <s v="Strategic"/>
  </r>
  <r>
    <s v="P072"/>
    <s v="Pharma APIs"/>
    <s v="Africa"/>
    <x v="7"/>
    <n v="59"/>
    <n v="808"/>
    <n v="407.51"/>
    <n v="3"/>
    <n v="5"/>
    <n v="4"/>
    <n v="0"/>
    <s v="Strategic"/>
  </r>
  <r>
    <s v="P073"/>
    <s v="Lithium Batteries"/>
    <s v="Asia"/>
    <x v="2"/>
    <n v="83"/>
    <n v="184"/>
    <n v="313.36"/>
    <n v="5"/>
    <n v="4"/>
    <n v="5"/>
    <n v="0"/>
    <s v="Strategic"/>
  </r>
  <r>
    <s v="P074"/>
    <s v="Pharma APIs"/>
    <s v="Africa"/>
    <x v="7"/>
    <n v="40"/>
    <n v="899"/>
    <n v="401.51"/>
    <n v="5"/>
    <n v="4"/>
    <n v="5"/>
    <n v="0"/>
    <s v="Strategic"/>
  </r>
  <r>
    <s v="P075"/>
    <s v="AI Chips"/>
    <s v="Asia"/>
    <x v="3"/>
    <n v="63"/>
    <n v="367"/>
    <n v="356.05"/>
    <n v="5"/>
    <n v="4"/>
    <n v="4"/>
    <n v="0"/>
    <s v="Strategic"/>
  </r>
  <r>
    <s v="P076"/>
    <s v="Lithium Batteries"/>
    <s v="South America"/>
    <x v="4"/>
    <n v="44"/>
    <n v="306"/>
    <n v="208.63"/>
    <n v="5"/>
    <n v="5"/>
    <n v="4"/>
    <n v="0"/>
    <s v="Strategic"/>
  </r>
  <r>
    <s v="P077"/>
    <s v="Pharma APIs"/>
    <s v="Africa"/>
    <x v="7"/>
    <n v="58"/>
    <n v="197"/>
    <n v="305.18"/>
    <n v="5"/>
    <n v="5"/>
    <n v="5"/>
    <n v="0"/>
    <s v="Strategic"/>
  </r>
  <r>
    <s v="P078"/>
    <s v="Lithium Batteries"/>
    <s v="Asia"/>
    <x v="2"/>
    <n v="10"/>
    <n v="641"/>
    <n v="435.1"/>
    <n v="4"/>
    <n v="3"/>
    <n v="4"/>
    <n v="0"/>
    <s v="Strategic"/>
  </r>
  <r>
    <s v="P079"/>
    <s v="AI Chips"/>
    <s v="South America"/>
    <x v="5"/>
    <n v="72"/>
    <n v="607"/>
    <n v="347.63"/>
    <n v="5"/>
    <n v="3"/>
    <n v="5"/>
    <n v="0"/>
    <s v="Strategic"/>
  </r>
  <r>
    <s v="P080"/>
    <s v="Lithium Batteries"/>
    <s v="Africa"/>
    <x v="8"/>
    <n v="22"/>
    <n v="982"/>
    <n v="373.89"/>
    <n v="5"/>
    <n v="5"/>
    <n v="4"/>
    <n v="0"/>
    <s v="Strategic"/>
  </r>
  <r>
    <s v="P081"/>
    <s v="Pharma APIs"/>
    <s v="Africa"/>
    <x v="7"/>
    <n v="67"/>
    <n v="380"/>
    <n v="408.95"/>
    <n v="4"/>
    <n v="5"/>
    <n v="4"/>
    <n v="0"/>
    <s v="Strategic"/>
  </r>
  <r>
    <s v="P082"/>
    <s v="AI Chips"/>
    <s v="South America"/>
    <x v="5"/>
    <n v="7"/>
    <n v="565"/>
    <n v="446.54"/>
    <n v="3"/>
    <n v="4"/>
    <n v="5"/>
    <n v="0"/>
    <s v="Strategic"/>
  </r>
  <r>
    <s v="P083"/>
    <s v="Lithium Batteries"/>
    <s v="Asia"/>
    <x v="2"/>
    <n v="32"/>
    <n v="645"/>
    <n v="261.89999999999998"/>
    <n v="5"/>
    <n v="4"/>
    <n v="4"/>
    <n v="0"/>
    <s v="Strategic"/>
  </r>
  <r>
    <s v="P084"/>
    <s v="Lithium Batteries"/>
    <s v="Asia"/>
    <x v="2"/>
    <n v="42"/>
    <n v="155"/>
    <n v="406.34"/>
    <n v="3"/>
    <n v="4"/>
    <n v="5"/>
    <n v="0"/>
    <s v="Strategic"/>
  </r>
  <r>
    <s v="P085"/>
    <s v="Lithium Batteries"/>
    <s v="South America"/>
    <x v="4"/>
    <n v="34"/>
    <n v="791"/>
    <n v="379.18"/>
    <n v="5"/>
    <n v="4"/>
    <n v="4"/>
    <n v="0"/>
    <s v="Strategic"/>
  </r>
  <r>
    <s v="P086"/>
    <s v="Semiconductors"/>
    <s v="Africa"/>
    <x v="6"/>
    <n v="29"/>
    <n v="765"/>
    <n v="416.15"/>
    <n v="5"/>
    <n v="5"/>
    <n v="5"/>
    <n v="0"/>
    <s v="Strategic"/>
  </r>
  <r>
    <s v="P087"/>
    <s v="AI Chips"/>
    <s v="Africa"/>
    <x v="10"/>
    <n v="34"/>
    <n v="373"/>
    <n v="209.14"/>
    <n v="5"/>
    <n v="3"/>
    <n v="5"/>
    <n v="0"/>
    <s v="Strategic"/>
  </r>
  <r>
    <s v="P088"/>
    <s v="AI Chips"/>
    <s v="Asia"/>
    <x v="3"/>
    <n v="31"/>
    <n v="185"/>
    <n v="452.21"/>
    <n v="3"/>
    <n v="3"/>
    <n v="5"/>
    <n v="0"/>
    <s v="Strategic"/>
  </r>
  <r>
    <s v="P089"/>
    <s v="Pharma APIs"/>
    <s v="South America"/>
    <x v="9"/>
    <n v="14"/>
    <n v="245"/>
    <n v="394.65"/>
    <n v="5"/>
    <n v="5"/>
    <n v="4"/>
    <n v="0"/>
    <s v="Strategic"/>
  </r>
  <r>
    <s v="P090"/>
    <s v="Pharma APIs"/>
    <s v="South America"/>
    <x v="9"/>
    <n v="62"/>
    <n v="524"/>
    <n v="238.27"/>
    <n v="4"/>
    <n v="5"/>
    <n v="4"/>
    <n v="0"/>
    <s v="Strategic"/>
  </r>
  <r>
    <s v="P091"/>
    <s v="Semiconductors"/>
    <s v="South America"/>
    <x v="0"/>
    <n v="10"/>
    <n v="388"/>
    <n v="381.73"/>
    <n v="4"/>
    <n v="5"/>
    <n v="4"/>
    <n v="0"/>
    <s v="Strategic"/>
  </r>
  <r>
    <s v="P092"/>
    <s v="AI Chips"/>
    <s v="Africa"/>
    <x v="10"/>
    <n v="37"/>
    <n v="706"/>
    <n v="285.52999999999997"/>
    <n v="5"/>
    <n v="5"/>
    <n v="5"/>
    <n v="0"/>
    <s v="Strategic"/>
  </r>
  <r>
    <s v="P093"/>
    <s v="Pharma APIs"/>
    <s v="Africa"/>
    <x v="7"/>
    <n v="57"/>
    <n v="105"/>
    <n v="499.18"/>
    <n v="5"/>
    <n v="5"/>
    <n v="5"/>
    <n v="0"/>
    <s v="Strategic"/>
  </r>
  <r>
    <s v="P094"/>
    <s v="AI Chips"/>
    <s v="Asia"/>
    <x v="3"/>
    <n v="74"/>
    <n v="491"/>
    <n v="367.03"/>
    <n v="4"/>
    <n v="5"/>
    <n v="5"/>
    <n v="0"/>
    <s v="Strategic"/>
  </r>
  <r>
    <s v="P095"/>
    <s v="Semiconductors"/>
    <s v="South America"/>
    <x v="0"/>
    <n v="17"/>
    <n v="239"/>
    <n v="420.87"/>
    <n v="5"/>
    <n v="3"/>
    <n v="4"/>
    <n v="0"/>
    <s v="Strategic"/>
  </r>
  <r>
    <s v="P096"/>
    <s v="Semiconductors"/>
    <s v="South America"/>
    <x v="0"/>
    <n v="16"/>
    <n v="772"/>
    <n v="359.78"/>
    <n v="4"/>
    <n v="5"/>
    <n v="5"/>
    <n v="0"/>
    <s v="Strategic"/>
  </r>
  <r>
    <s v="P097"/>
    <s v="Pharma APIs"/>
    <s v="Asia"/>
    <x v="1"/>
    <n v="81"/>
    <n v="695"/>
    <n v="405.37"/>
    <n v="4"/>
    <n v="3"/>
    <n v="4"/>
    <n v="0"/>
    <s v="Strategic"/>
  </r>
  <r>
    <s v="P098"/>
    <s v="Semiconductors"/>
    <s v="South America"/>
    <x v="0"/>
    <n v="81"/>
    <n v="705"/>
    <n v="323.55"/>
    <n v="5"/>
    <n v="5"/>
    <n v="4"/>
    <n v="0"/>
    <s v="Strategic"/>
  </r>
  <r>
    <s v="P099"/>
    <s v="Lithium Batteries"/>
    <s v="Asia"/>
    <x v="2"/>
    <n v="20"/>
    <n v="612"/>
    <n v="313.77"/>
    <n v="5"/>
    <n v="4"/>
    <n v="5"/>
    <n v="0"/>
    <s v="Strategic"/>
  </r>
  <r>
    <s v="P100"/>
    <s v="Pharma APIs"/>
    <s v="South America"/>
    <x v="9"/>
    <n v="48"/>
    <n v="104"/>
    <n v="249.28"/>
    <n v="5"/>
    <n v="3"/>
    <n v="4"/>
    <n v="0"/>
    <s v="Strategic"/>
  </r>
  <r>
    <s v="P1000"/>
    <s v="Cleaning Supplies"/>
    <s v="Asia"/>
    <x v="12"/>
    <n v="76"/>
    <n v="9018"/>
    <n v="29.98"/>
    <n v="1"/>
    <n v="3"/>
    <n v="1"/>
    <n v="1"/>
    <s v="Strategic"/>
  </r>
  <r>
    <s v="P101"/>
    <s v="Lithium Batteries"/>
    <s v="Asia"/>
    <x v="2"/>
    <n v="29"/>
    <n v="715"/>
    <n v="335.58"/>
    <n v="5"/>
    <n v="4"/>
    <n v="5"/>
    <n v="0"/>
    <s v="Strategic"/>
  </r>
  <r>
    <s v="P102"/>
    <s v="Semiconductors"/>
    <s v="South America"/>
    <x v="0"/>
    <n v="45"/>
    <n v="324"/>
    <n v="269.66000000000003"/>
    <n v="3"/>
    <n v="5"/>
    <n v="4"/>
    <n v="0"/>
    <s v="Strategic"/>
  </r>
  <r>
    <s v="P103"/>
    <s v="Semiconductors"/>
    <s v="Africa"/>
    <x v="6"/>
    <n v="39"/>
    <n v="278"/>
    <n v="299.83999999999997"/>
    <n v="5"/>
    <n v="4"/>
    <n v="5"/>
    <n v="0"/>
    <s v="Strategic"/>
  </r>
  <r>
    <s v="P104"/>
    <s v="Pharma APIs"/>
    <s v="Asia"/>
    <x v="1"/>
    <n v="61"/>
    <n v="256"/>
    <n v="371.95"/>
    <n v="4"/>
    <n v="5"/>
    <n v="5"/>
    <n v="0"/>
    <s v="Strategic"/>
  </r>
  <r>
    <s v="P105"/>
    <s v="Lithium Batteries"/>
    <s v="Asia"/>
    <x v="2"/>
    <n v="19"/>
    <n v="621"/>
    <n v="370.97"/>
    <n v="5"/>
    <n v="5"/>
    <n v="4"/>
    <n v="0"/>
    <s v="Strategic"/>
  </r>
  <r>
    <s v="P106"/>
    <s v="Semiconductors"/>
    <s v="Asia"/>
    <x v="11"/>
    <n v="74"/>
    <n v="795"/>
    <n v="337.1"/>
    <n v="3"/>
    <n v="5"/>
    <n v="4"/>
    <n v="0"/>
    <s v="Strategic"/>
  </r>
  <r>
    <s v="P107"/>
    <s v="Pharma APIs"/>
    <s v="South America"/>
    <x v="9"/>
    <n v="75"/>
    <n v="726"/>
    <n v="203.66"/>
    <n v="5"/>
    <n v="5"/>
    <n v="4"/>
    <n v="0"/>
    <s v="Strategic"/>
  </r>
  <r>
    <s v="P108"/>
    <s v="Pharma APIs"/>
    <s v="Africa"/>
    <x v="7"/>
    <n v="18"/>
    <n v="649"/>
    <n v="472.54"/>
    <n v="4"/>
    <n v="5"/>
    <n v="5"/>
    <n v="0"/>
    <s v="Strategic"/>
  </r>
  <r>
    <s v="P109"/>
    <s v="AI Chips"/>
    <s v="Asia"/>
    <x v="3"/>
    <n v="37"/>
    <n v="722"/>
    <n v="351.77"/>
    <n v="3"/>
    <n v="5"/>
    <n v="5"/>
    <n v="0"/>
    <s v="Strategic"/>
  </r>
  <r>
    <s v="P110"/>
    <s v="AI Chips"/>
    <s v="Africa"/>
    <x v="10"/>
    <n v="52"/>
    <n v="561"/>
    <n v="223.2"/>
    <n v="5"/>
    <n v="4"/>
    <n v="5"/>
    <n v="0"/>
    <s v="Strategic"/>
  </r>
  <r>
    <s v="P111"/>
    <s v="Lithium Batteries"/>
    <s v="Africa"/>
    <x v="8"/>
    <n v="46"/>
    <n v="281"/>
    <n v="451.67"/>
    <n v="4"/>
    <n v="5"/>
    <n v="4"/>
    <n v="0"/>
    <s v="Strategic"/>
  </r>
  <r>
    <s v="P112"/>
    <s v="Semiconductors"/>
    <s v="Asia"/>
    <x v="11"/>
    <n v="41"/>
    <n v="236"/>
    <n v="216.43"/>
    <n v="4"/>
    <n v="3"/>
    <n v="5"/>
    <n v="0"/>
    <s v="Strategic"/>
  </r>
  <r>
    <s v="P113"/>
    <s v="Semiconductors"/>
    <s v="Africa"/>
    <x v="6"/>
    <n v="23"/>
    <n v="905"/>
    <n v="459.06"/>
    <n v="5"/>
    <n v="5"/>
    <n v="5"/>
    <n v="0"/>
    <s v="Strategic"/>
  </r>
  <r>
    <s v="P114"/>
    <s v="Pharma APIs"/>
    <s v="Africa"/>
    <x v="7"/>
    <n v="39"/>
    <n v="278"/>
    <n v="335.73"/>
    <n v="4"/>
    <n v="3"/>
    <n v="5"/>
    <n v="0"/>
    <s v="Strategic"/>
  </r>
  <r>
    <s v="P115"/>
    <s v="Lithium Batteries"/>
    <s v="Asia"/>
    <x v="2"/>
    <n v="55"/>
    <n v="765"/>
    <n v="283.27999999999997"/>
    <n v="5"/>
    <n v="3"/>
    <n v="5"/>
    <n v="0"/>
    <s v="Strategic"/>
  </r>
  <r>
    <s v="P116"/>
    <s v="Pharma APIs"/>
    <s v="Asia"/>
    <x v="1"/>
    <n v="57"/>
    <n v="800"/>
    <n v="225.6"/>
    <n v="4"/>
    <n v="5"/>
    <n v="5"/>
    <n v="0"/>
    <s v="Strategic"/>
  </r>
  <r>
    <s v="P117"/>
    <s v="Semiconductors"/>
    <s v="Asia"/>
    <x v="11"/>
    <n v="24"/>
    <n v="769"/>
    <n v="304.82"/>
    <n v="5"/>
    <n v="5"/>
    <n v="4"/>
    <n v="0"/>
    <s v="Strategic"/>
  </r>
  <r>
    <s v="P118"/>
    <s v="Lithium Batteries"/>
    <s v="South America"/>
    <x v="4"/>
    <n v="57"/>
    <n v="293"/>
    <n v="335.99"/>
    <n v="5"/>
    <n v="4"/>
    <n v="5"/>
    <n v="0"/>
    <s v="Strategic"/>
  </r>
  <r>
    <s v="P119"/>
    <s v="Semiconductors"/>
    <s v="South America"/>
    <x v="0"/>
    <n v="40"/>
    <n v="154"/>
    <n v="300.31"/>
    <n v="5"/>
    <n v="5"/>
    <n v="4"/>
    <n v="0"/>
    <s v="Strategic"/>
  </r>
  <r>
    <s v="P120"/>
    <s v="Pharma APIs"/>
    <s v="Asia"/>
    <x v="1"/>
    <n v="73"/>
    <n v="899"/>
    <n v="493.68"/>
    <n v="3"/>
    <n v="5"/>
    <n v="5"/>
    <n v="0"/>
    <s v="Strategic"/>
  </r>
  <r>
    <s v="P121"/>
    <s v="Pharma APIs"/>
    <s v="Asia"/>
    <x v="1"/>
    <n v="14"/>
    <n v="427"/>
    <n v="351.65"/>
    <n v="5"/>
    <n v="5"/>
    <n v="5"/>
    <n v="0"/>
    <s v="Strategic"/>
  </r>
  <r>
    <s v="P122"/>
    <s v="AI Chips"/>
    <s v="Asia"/>
    <x v="3"/>
    <n v="20"/>
    <n v="387"/>
    <n v="496.62"/>
    <n v="4"/>
    <n v="4"/>
    <n v="5"/>
    <n v="0"/>
    <s v="Strategic"/>
  </r>
  <r>
    <s v="P123"/>
    <s v="Semiconductors"/>
    <s v="Asia"/>
    <x v="11"/>
    <n v="25"/>
    <n v="429"/>
    <n v="226.08"/>
    <n v="5"/>
    <n v="4"/>
    <n v="4"/>
    <n v="0"/>
    <s v="Strategic"/>
  </r>
  <r>
    <s v="P124"/>
    <s v="Pharma APIs"/>
    <s v="Africa"/>
    <x v="7"/>
    <n v="8"/>
    <n v="996"/>
    <n v="411.18"/>
    <n v="4"/>
    <n v="5"/>
    <n v="4"/>
    <n v="0"/>
    <s v="Strategic"/>
  </r>
  <r>
    <s v="P125"/>
    <s v="Semiconductors"/>
    <s v="South America"/>
    <x v="0"/>
    <n v="59"/>
    <n v="360"/>
    <n v="280.42"/>
    <n v="3"/>
    <n v="4"/>
    <n v="4"/>
    <n v="0"/>
    <s v="Strategic"/>
  </r>
  <r>
    <s v="P126"/>
    <s v="Pharma APIs"/>
    <s v="South America"/>
    <x v="9"/>
    <n v="87"/>
    <n v="463"/>
    <n v="492.36"/>
    <n v="5"/>
    <n v="5"/>
    <n v="5"/>
    <n v="0"/>
    <s v="Strategic"/>
  </r>
  <r>
    <s v="P127"/>
    <s v="AI Chips"/>
    <s v="Africa"/>
    <x v="10"/>
    <n v="28"/>
    <n v="651"/>
    <n v="280.60000000000002"/>
    <n v="3"/>
    <n v="4"/>
    <n v="5"/>
    <n v="0"/>
    <s v="Strategic"/>
  </r>
  <r>
    <s v="P128"/>
    <s v="Semiconductors"/>
    <s v="Asia"/>
    <x v="11"/>
    <n v="24"/>
    <n v="128"/>
    <n v="239.68"/>
    <n v="5"/>
    <n v="5"/>
    <n v="4"/>
    <n v="0"/>
    <s v="Strategic"/>
  </r>
  <r>
    <s v="P129"/>
    <s v="Pharma APIs"/>
    <s v="South America"/>
    <x v="9"/>
    <n v="33"/>
    <n v="133"/>
    <n v="372.95"/>
    <n v="4"/>
    <n v="5"/>
    <n v="4"/>
    <n v="0"/>
    <s v="Strategic"/>
  </r>
  <r>
    <s v="P130"/>
    <s v="Lithium Batteries"/>
    <s v="Asia"/>
    <x v="2"/>
    <n v="51"/>
    <n v="709"/>
    <n v="419.66"/>
    <n v="5"/>
    <n v="5"/>
    <n v="5"/>
    <n v="0"/>
    <s v="Strategic"/>
  </r>
  <r>
    <s v="P131"/>
    <s v="Lithium Batteries"/>
    <s v="South America"/>
    <x v="4"/>
    <n v="57"/>
    <n v="733"/>
    <n v="314.94"/>
    <n v="5"/>
    <n v="3"/>
    <n v="5"/>
    <n v="0"/>
    <s v="Strategic"/>
  </r>
  <r>
    <s v="P132"/>
    <s v="Lithium Batteries"/>
    <s v="Asia"/>
    <x v="2"/>
    <n v="60"/>
    <n v="248"/>
    <n v="273.60000000000002"/>
    <n v="5"/>
    <n v="5"/>
    <n v="4"/>
    <n v="0"/>
    <s v="Strategic"/>
  </r>
  <r>
    <s v="P133"/>
    <s v="AI Chips"/>
    <s v="South America"/>
    <x v="5"/>
    <n v="87"/>
    <n v="505"/>
    <n v="486.23"/>
    <n v="5"/>
    <n v="5"/>
    <n v="4"/>
    <n v="0"/>
    <s v="Strategic"/>
  </r>
  <r>
    <s v="P134"/>
    <s v="AI Chips"/>
    <s v="Asia"/>
    <x v="3"/>
    <n v="7"/>
    <n v="300"/>
    <n v="246.4"/>
    <n v="3"/>
    <n v="3"/>
    <n v="5"/>
    <n v="0"/>
    <s v="Strategic"/>
  </r>
  <r>
    <s v="P135"/>
    <s v="Lithium Batteries"/>
    <s v="South America"/>
    <x v="4"/>
    <n v="18"/>
    <n v="124"/>
    <n v="379.49"/>
    <n v="3"/>
    <n v="5"/>
    <n v="4"/>
    <n v="0"/>
    <s v="Strategic"/>
  </r>
  <r>
    <s v="P136"/>
    <s v="Semiconductors"/>
    <s v="Asia"/>
    <x v="11"/>
    <n v="53"/>
    <n v="916"/>
    <n v="442.23"/>
    <n v="5"/>
    <n v="4"/>
    <n v="4"/>
    <n v="0"/>
    <s v="Strategic"/>
  </r>
  <r>
    <s v="P137"/>
    <s v="Pharma APIs"/>
    <s v="Africa"/>
    <x v="7"/>
    <n v="86"/>
    <n v="875"/>
    <n v="461.88"/>
    <n v="4"/>
    <n v="5"/>
    <n v="4"/>
    <n v="0"/>
    <s v="Strategic"/>
  </r>
  <r>
    <s v="P138"/>
    <s v="AI Chips"/>
    <s v="Asia"/>
    <x v="3"/>
    <n v="53"/>
    <n v="367"/>
    <n v="471.01"/>
    <n v="4"/>
    <n v="4"/>
    <n v="4"/>
    <n v="0"/>
    <s v="Strategic"/>
  </r>
  <r>
    <s v="P139"/>
    <s v="Pharma APIs"/>
    <s v="Africa"/>
    <x v="7"/>
    <n v="13"/>
    <n v="893"/>
    <n v="477.57"/>
    <n v="5"/>
    <n v="5"/>
    <n v="4"/>
    <n v="0"/>
    <s v="Strategic"/>
  </r>
  <r>
    <s v="P140"/>
    <s v="Lithium Batteries"/>
    <s v="Africa"/>
    <x v="8"/>
    <n v="24"/>
    <n v="926"/>
    <n v="234.58"/>
    <n v="4"/>
    <n v="5"/>
    <n v="4"/>
    <n v="0"/>
    <s v="Strategic"/>
  </r>
  <r>
    <s v="P141"/>
    <s v="Semiconductors"/>
    <s v="Asia"/>
    <x v="11"/>
    <n v="43"/>
    <n v="258"/>
    <n v="211.1"/>
    <n v="5"/>
    <n v="5"/>
    <n v="5"/>
    <n v="0"/>
    <s v="Strategic"/>
  </r>
  <r>
    <s v="P142"/>
    <s v="Semiconductors"/>
    <s v="Asia"/>
    <x v="11"/>
    <n v="31"/>
    <n v="463"/>
    <n v="417.43"/>
    <n v="4"/>
    <n v="5"/>
    <n v="4"/>
    <n v="0"/>
    <s v="Strategic"/>
  </r>
  <r>
    <s v="P143"/>
    <s v="Lithium Batteries"/>
    <s v="Africa"/>
    <x v="8"/>
    <n v="40"/>
    <n v="525"/>
    <n v="465.79"/>
    <n v="5"/>
    <n v="4"/>
    <n v="5"/>
    <n v="0"/>
    <s v="Strategic"/>
  </r>
  <r>
    <s v="P144"/>
    <s v="AI Chips"/>
    <s v="Africa"/>
    <x v="10"/>
    <n v="35"/>
    <n v="373"/>
    <n v="255.64"/>
    <n v="5"/>
    <n v="4"/>
    <n v="5"/>
    <n v="0"/>
    <s v="Strategic"/>
  </r>
  <r>
    <s v="P145"/>
    <s v="AI Chips"/>
    <s v="Africa"/>
    <x v="10"/>
    <n v="36"/>
    <n v="847"/>
    <n v="211.28"/>
    <n v="3"/>
    <n v="4"/>
    <n v="4"/>
    <n v="0"/>
    <s v="Strategic"/>
  </r>
  <r>
    <s v="P146"/>
    <s v="Lithium Batteries"/>
    <s v="Asia"/>
    <x v="2"/>
    <n v="74"/>
    <n v="676"/>
    <n v="356.76"/>
    <n v="4"/>
    <n v="4"/>
    <n v="5"/>
    <n v="0"/>
    <s v="Strategic"/>
  </r>
  <r>
    <s v="P147"/>
    <s v="AI Chips"/>
    <s v="Asia"/>
    <x v="3"/>
    <n v="74"/>
    <n v="804"/>
    <n v="212.63"/>
    <n v="5"/>
    <n v="3"/>
    <n v="4"/>
    <n v="0"/>
    <s v="Strategic"/>
  </r>
  <r>
    <s v="P148"/>
    <s v="Pharma APIs"/>
    <s v="Africa"/>
    <x v="7"/>
    <n v="68"/>
    <n v="479"/>
    <n v="439.4"/>
    <n v="4"/>
    <n v="5"/>
    <n v="5"/>
    <n v="0"/>
    <s v="Strategic"/>
  </r>
  <r>
    <s v="P149"/>
    <s v="Lithium Batteries"/>
    <s v="Asia"/>
    <x v="2"/>
    <n v="80"/>
    <n v="871"/>
    <n v="423.01"/>
    <n v="5"/>
    <n v="4"/>
    <n v="4"/>
    <n v="0"/>
    <s v="Strategic"/>
  </r>
  <r>
    <s v="P150"/>
    <s v="Semiconductors"/>
    <s v="South America"/>
    <x v="0"/>
    <n v="60"/>
    <n v="852"/>
    <n v="266.14999999999998"/>
    <n v="4"/>
    <n v="3"/>
    <n v="5"/>
    <n v="0"/>
    <s v="Strategic"/>
  </r>
  <r>
    <s v="P151"/>
    <s v="Semiconductors"/>
    <s v="Africa"/>
    <x v="6"/>
    <n v="56"/>
    <n v="119"/>
    <n v="355.48"/>
    <n v="4"/>
    <n v="5"/>
    <n v="5"/>
    <n v="0"/>
    <s v="Strategic"/>
  </r>
  <r>
    <s v="P152"/>
    <s v="AI Chips"/>
    <s v="Asia"/>
    <x v="3"/>
    <n v="79"/>
    <n v="259"/>
    <n v="246.17"/>
    <n v="5"/>
    <n v="3"/>
    <n v="4"/>
    <n v="0"/>
    <s v="Strategic"/>
  </r>
  <r>
    <s v="P153"/>
    <s v="Pharma APIs"/>
    <s v="Asia"/>
    <x v="1"/>
    <n v="31"/>
    <n v="716"/>
    <n v="227.45"/>
    <n v="4"/>
    <n v="5"/>
    <n v="5"/>
    <n v="0"/>
    <s v="Strategic"/>
  </r>
  <r>
    <s v="P154"/>
    <s v="AI Chips"/>
    <s v="Africa"/>
    <x v="10"/>
    <n v="44"/>
    <n v="139"/>
    <n v="442.85"/>
    <n v="5"/>
    <n v="5"/>
    <n v="4"/>
    <n v="0"/>
    <s v="Strategic"/>
  </r>
  <r>
    <s v="P155"/>
    <s v="Pharma APIs"/>
    <s v="Asia"/>
    <x v="1"/>
    <n v="87"/>
    <n v="553"/>
    <n v="214.64"/>
    <n v="3"/>
    <n v="3"/>
    <n v="4"/>
    <n v="0"/>
    <s v="Strategic"/>
  </r>
  <r>
    <s v="P156"/>
    <s v="AI Chips"/>
    <s v="South America"/>
    <x v="5"/>
    <n v="39"/>
    <n v="448"/>
    <n v="344.18"/>
    <n v="5"/>
    <n v="3"/>
    <n v="4"/>
    <n v="0"/>
    <s v="Strategic"/>
  </r>
  <r>
    <s v="P157"/>
    <s v="AI Chips"/>
    <s v="Asia"/>
    <x v="3"/>
    <n v="51"/>
    <n v="191"/>
    <n v="460.45"/>
    <n v="4"/>
    <n v="5"/>
    <n v="4"/>
    <n v="0"/>
    <s v="Strategic"/>
  </r>
  <r>
    <s v="P158"/>
    <s v="Lithium Batteries"/>
    <s v="Asia"/>
    <x v="2"/>
    <n v="64"/>
    <n v="766"/>
    <n v="231.75"/>
    <n v="5"/>
    <n v="4"/>
    <n v="5"/>
    <n v="0"/>
    <s v="Strategic"/>
  </r>
  <r>
    <s v="P159"/>
    <s v="Lithium Batteries"/>
    <s v="South America"/>
    <x v="4"/>
    <n v="88"/>
    <n v="493"/>
    <n v="447.75"/>
    <n v="5"/>
    <n v="5"/>
    <n v="5"/>
    <n v="0"/>
    <s v="Strategic"/>
  </r>
  <r>
    <s v="P160"/>
    <s v="Pharma APIs"/>
    <s v="Asia"/>
    <x v="1"/>
    <n v="23"/>
    <n v="623"/>
    <n v="426.99"/>
    <n v="5"/>
    <n v="5"/>
    <n v="4"/>
    <n v="0"/>
    <s v="Strategic"/>
  </r>
  <r>
    <s v="P161"/>
    <s v="Pharma APIs"/>
    <s v="South America"/>
    <x v="9"/>
    <n v="77"/>
    <n v="955"/>
    <n v="390.2"/>
    <n v="5"/>
    <n v="5"/>
    <n v="4"/>
    <n v="0"/>
    <s v="Strategic"/>
  </r>
  <r>
    <s v="P162"/>
    <s v="AI Chips"/>
    <s v="Asia"/>
    <x v="3"/>
    <n v="74"/>
    <n v="511"/>
    <n v="452.04"/>
    <n v="3"/>
    <n v="5"/>
    <n v="5"/>
    <n v="0"/>
    <s v="Strategic"/>
  </r>
  <r>
    <s v="P163"/>
    <s v="Pharma APIs"/>
    <s v="South America"/>
    <x v="9"/>
    <n v="71"/>
    <n v="830"/>
    <n v="220.35"/>
    <n v="4"/>
    <n v="5"/>
    <n v="5"/>
    <n v="0"/>
    <s v="Strategic"/>
  </r>
  <r>
    <s v="P164"/>
    <s v="AI Chips"/>
    <s v="Asia"/>
    <x v="3"/>
    <n v="58"/>
    <n v="405"/>
    <n v="213.72"/>
    <n v="5"/>
    <n v="5"/>
    <n v="5"/>
    <n v="0"/>
    <s v="Strategic"/>
  </r>
  <r>
    <s v="P165"/>
    <s v="Lithium Batteries"/>
    <s v="Africa"/>
    <x v="8"/>
    <n v="32"/>
    <n v="132"/>
    <n v="219.69"/>
    <n v="5"/>
    <n v="4"/>
    <n v="5"/>
    <n v="0"/>
    <s v="Strategic"/>
  </r>
  <r>
    <s v="P166"/>
    <s v="AI Chips"/>
    <s v="Africa"/>
    <x v="10"/>
    <n v="35"/>
    <n v="198"/>
    <n v="499.14"/>
    <n v="5"/>
    <n v="4"/>
    <n v="4"/>
    <n v="0"/>
    <s v="Strategic"/>
  </r>
  <r>
    <s v="P167"/>
    <s v="Semiconductors"/>
    <s v="Africa"/>
    <x v="6"/>
    <n v="62"/>
    <n v="183"/>
    <n v="224.71"/>
    <n v="4"/>
    <n v="5"/>
    <n v="5"/>
    <n v="0"/>
    <s v="Strategic"/>
  </r>
  <r>
    <s v="P168"/>
    <s v="Pharma APIs"/>
    <s v="Africa"/>
    <x v="7"/>
    <n v="9"/>
    <n v="968"/>
    <n v="472.86"/>
    <n v="3"/>
    <n v="3"/>
    <n v="4"/>
    <n v="0"/>
    <s v="Strategic"/>
  </r>
  <r>
    <s v="P169"/>
    <s v="Semiconductors"/>
    <s v="Asia"/>
    <x v="11"/>
    <n v="21"/>
    <n v="626"/>
    <n v="468.23"/>
    <n v="3"/>
    <n v="5"/>
    <n v="5"/>
    <n v="0"/>
    <s v="Strategic"/>
  </r>
  <r>
    <s v="P170"/>
    <s v="Pharma APIs"/>
    <s v="Asia"/>
    <x v="1"/>
    <n v="52"/>
    <n v="529"/>
    <n v="490.46"/>
    <n v="5"/>
    <n v="5"/>
    <n v="4"/>
    <n v="0"/>
    <s v="Strategic"/>
  </r>
  <r>
    <s v="P171"/>
    <s v="AI Chips"/>
    <s v="Africa"/>
    <x v="10"/>
    <n v="31"/>
    <n v="792"/>
    <n v="387.87"/>
    <n v="5"/>
    <n v="5"/>
    <n v="5"/>
    <n v="0"/>
    <s v="Strategic"/>
  </r>
  <r>
    <s v="P172"/>
    <s v="AI Chips"/>
    <s v="South America"/>
    <x v="5"/>
    <n v="8"/>
    <n v="335"/>
    <n v="237.56"/>
    <n v="4"/>
    <n v="5"/>
    <n v="5"/>
    <n v="0"/>
    <s v="Strategic"/>
  </r>
  <r>
    <s v="P173"/>
    <s v="Pharma APIs"/>
    <s v="South America"/>
    <x v="9"/>
    <n v="44"/>
    <n v="820"/>
    <n v="495.31"/>
    <n v="5"/>
    <n v="4"/>
    <n v="5"/>
    <n v="0"/>
    <s v="Strategic"/>
  </r>
  <r>
    <s v="P174"/>
    <s v="Pharma APIs"/>
    <s v="South America"/>
    <x v="9"/>
    <n v="23"/>
    <n v="201"/>
    <n v="427.12"/>
    <n v="5"/>
    <n v="3"/>
    <n v="4"/>
    <n v="0"/>
    <s v="Strategic"/>
  </r>
  <r>
    <s v="P175"/>
    <s v="Pharma APIs"/>
    <s v="Asia"/>
    <x v="1"/>
    <n v="8"/>
    <n v="691"/>
    <n v="242.75"/>
    <n v="4"/>
    <n v="5"/>
    <n v="5"/>
    <n v="0"/>
    <s v="Strategic"/>
  </r>
  <r>
    <s v="P176"/>
    <s v="Lithium Batteries"/>
    <s v="Africa"/>
    <x v="8"/>
    <n v="52"/>
    <n v="688"/>
    <n v="305.19"/>
    <n v="4"/>
    <n v="4"/>
    <n v="5"/>
    <n v="0"/>
    <s v="Strategic"/>
  </r>
  <r>
    <s v="P177"/>
    <s v="AI Chips"/>
    <s v="Africa"/>
    <x v="10"/>
    <n v="12"/>
    <n v="986"/>
    <n v="260.05"/>
    <n v="4"/>
    <n v="5"/>
    <n v="5"/>
    <n v="0"/>
    <s v="Strategic"/>
  </r>
  <r>
    <s v="P178"/>
    <s v="Lithium Batteries"/>
    <s v="South America"/>
    <x v="4"/>
    <n v="13"/>
    <n v="515"/>
    <n v="215.59"/>
    <n v="5"/>
    <n v="4"/>
    <n v="4"/>
    <n v="0"/>
    <s v="Strategic"/>
  </r>
  <r>
    <s v="P179"/>
    <s v="Semiconductors"/>
    <s v="Africa"/>
    <x v="6"/>
    <n v="66"/>
    <n v="413"/>
    <n v="364.28"/>
    <n v="5"/>
    <n v="4"/>
    <n v="5"/>
    <n v="0"/>
    <s v="Strategic"/>
  </r>
  <r>
    <s v="P180"/>
    <s v="AI Chips"/>
    <s v="Asia"/>
    <x v="3"/>
    <n v="25"/>
    <n v="111"/>
    <n v="417.45"/>
    <n v="4"/>
    <n v="5"/>
    <n v="4"/>
    <n v="0"/>
    <s v="Strategic"/>
  </r>
  <r>
    <s v="P181"/>
    <s v="Semiconductors"/>
    <s v="Africa"/>
    <x v="6"/>
    <n v="24"/>
    <n v="832"/>
    <n v="423.28"/>
    <n v="5"/>
    <n v="5"/>
    <n v="4"/>
    <n v="0"/>
    <s v="Strategic"/>
  </r>
  <r>
    <s v="P182"/>
    <s v="Semiconductors"/>
    <s v="South America"/>
    <x v="0"/>
    <n v="67"/>
    <n v="972"/>
    <n v="498.9"/>
    <n v="5"/>
    <n v="5"/>
    <n v="4"/>
    <n v="0"/>
    <s v="Strategic"/>
  </r>
  <r>
    <s v="P183"/>
    <s v="Lithium Batteries"/>
    <s v="Africa"/>
    <x v="8"/>
    <n v="30"/>
    <n v="431"/>
    <n v="261.07"/>
    <n v="5"/>
    <n v="3"/>
    <n v="4"/>
    <n v="0"/>
    <s v="Strategic"/>
  </r>
  <r>
    <s v="P184"/>
    <s v="Pharma APIs"/>
    <s v="South America"/>
    <x v="9"/>
    <n v="42"/>
    <n v="481"/>
    <n v="420.61"/>
    <n v="3"/>
    <n v="5"/>
    <n v="5"/>
    <n v="0"/>
    <s v="Strategic"/>
  </r>
  <r>
    <s v="P185"/>
    <s v="AI Chips"/>
    <s v="South America"/>
    <x v="5"/>
    <n v="64"/>
    <n v="677"/>
    <n v="346"/>
    <n v="5"/>
    <n v="5"/>
    <n v="4"/>
    <n v="0"/>
    <s v="Strategic"/>
  </r>
  <r>
    <s v="P186"/>
    <s v="AI Chips"/>
    <s v="Asia"/>
    <x v="3"/>
    <n v="14"/>
    <n v="629"/>
    <n v="315.14999999999998"/>
    <n v="5"/>
    <n v="5"/>
    <n v="5"/>
    <n v="0"/>
    <s v="Strategic"/>
  </r>
  <r>
    <s v="P187"/>
    <s v="Pharma APIs"/>
    <s v="Asia"/>
    <x v="1"/>
    <n v="47"/>
    <n v="625"/>
    <n v="253.9"/>
    <n v="4"/>
    <n v="5"/>
    <n v="5"/>
    <n v="0"/>
    <s v="Strategic"/>
  </r>
  <r>
    <s v="P188"/>
    <s v="AI Chips"/>
    <s v="South America"/>
    <x v="5"/>
    <n v="23"/>
    <n v="113"/>
    <n v="321.51"/>
    <n v="5"/>
    <n v="5"/>
    <n v="5"/>
    <n v="0"/>
    <s v="Strategic"/>
  </r>
  <r>
    <s v="P189"/>
    <s v="Semiconductors"/>
    <s v="Asia"/>
    <x v="11"/>
    <n v="53"/>
    <n v="262"/>
    <n v="319.70999999999998"/>
    <n v="3"/>
    <n v="5"/>
    <n v="4"/>
    <n v="0"/>
    <s v="Strategic"/>
  </r>
  <r>
    <s v="P190"/>
    <s v="Semiconductors"/>
    <s v="South America"/>
    <x v="0"/>
    <n v="7"/>
    <n v="369"/>
    <n v="222.05"/>
    <n v="4"/>
    <n v="4"/>
    <n v="5"/>
    <n v="0"/>
    <s v="Strategic"/>
  </r>
  <r>
    <s v="P191"/>
    <s v="Lithium Batteries"/>
    <s v="Asia"/>
    <x v="2"/>
    <n v="53"/>
    <n v="612"/>
    <n v="385.14"/>
    <n v="5"/>
    <n v="4"/>
    <n v="4"/>
    <n v="0"/>
    <s v="Strategic"/>
  </r>
  <r>
    <s v="P192"/>
    <s v="Lithium Batteries"/>
    <s v="Africa"/>
    <x v="8"/>
    <n v="67"/>
    <n v="731"/>
    <n v="434.54"/>
    <n v="5"/>
    <n v="4"/>
    <n v="5"/>
    <n v="0"/>
    <s v="Strategic"/>
  </r>
  <r>
    <s v="P193"/>
    <s v="Pharma APIs"/>
    <s v="Asia"/>
    <x v="1"/>
    <n v="41"/>
    <n v="610"/>
    <n v="217.13"/>
    <n v="4"/>
    <n v="5"/>
    <n v="4"/>
    <n v="0"/>
    <s v="Strategic"/>
  </r>
  <r>
    <s v="P194"/>
    <s v="AI Chips"/>
    <s v="South America"/>
    <x v="5"/>
    <n v="49"/>
    <n v="260"/>
    <n v="226.57"/>
    <n v="3"/>
    <n v="4"/>
    <n v="4"/>
    <n v="0"/>
    <s v="Strategic"/>
  </r>
  <r>
    <s v="P195"/>
    <s v="AI Chips"/>
    <s v="Africa"/>
    <x v="10"/>
    <n v="29"/>
    <n v="284"/>
    <n v="391.74"/>
    <n v="5"/>
    <n v="4"/>
    <n v="4"/>
    <n v="0"/>
    <s v="Strategic"/>
  </r>
  <r>
    <s v="P196"/>
    <s v="Pharma APIs"/>
    <s v="South America"/>
    <x v="9"/>
    <n v="14"/>
    <n v="737"/>
    <n v="237.72"/>
    <n v="5"/>
    <n v="5"/>
    <n v="4"/>
    <n v="0"/>
    <s v="Strategic"/>
  </r>
  <r>
    <s v="P197"/>
    <s v="AI Chips"/>
    <s v="Africa"/>
    <x v="10"/>
    <n v="40"/>
    <n v="768"/>
    <n v="419.25"/>
    <n v="4"/>
    <n v="5"/>
    <n v="5"/>
    <n v="0"/>
    <s v="Strategic"/>
  </r>
  <r>
    <s v="P198"/>
    <s v="Lithium Batteries"/>
    <s v="South America"/>
    <x v="4"/>
    <n v="82"/>
    <n v="513"/>
    <n v="483.38"/>
    <n v="5"/>
    <n v="3"/>
    <n v="5"/>
    <n v="0"/>
    <s v="Strategic"/>
  </r>
  <r>
    <s v="P199"/>
    <s v="Semiconductors"/>
    <s v="South America"/>
    <x v="0"/>
    <n v="68"/>
    <n v="900"/>
    <n v="406.86"/>
    <n v="4"/>
    <n v="3"/>
    <n v="4"/>
    <n v="0"/>
    <s v="Strategic"/>
  </r>
  <r>
    <s v="P200"/>
    <s v="Pharma APIs"/>
    <s v="Asia"/>
    <x v="1"/>
    <n v="83"/>
    <n v="674"/>
    <n v="381.49"/>
    <n v="4"/>
    <n v="4"/>
    <n v="4"/>
    <n v="0"/>
    <s v="Strategic"/>
  </r>
  <r>
    <s v="P201"/>
    <s v="Semiconductors"/>
    <s v="South America"/>
    <x v="0"/>
    <n v="88"/>
    <n v="480"/>
    <n v="463.55"/>
    <n v="5"/>
    <n v="4"/>
    <n v="5"/>
    <n v="0"/>
    <s v="Strategic"/>
  </r>
  <r>
    <s v="P202"/>
    <s v="Lithium Batteries"/>
    <s v="South America"/>
    <x v="4"/>
    <n v="21"/>
    <n v="430"/>
    <n v="330.67"/>
    <n v="5"/>
    <n v="3"/>
    <n v="4"/>
    <n v="0"/>
    <s v="Strategic"/>
  </r>
  <r>
    <s v="P203"/>
    <s v="Lithium Batteries"/>
    <s v="Asia"/>
    <x v="2"/>
    <n v="50"/>
    <n v="927"/>
    <n v="318.85000000000002"/>
    <n v="4"/>
    <n v="5"/>
    <n v="4"/>
    <n v="0"/>
    <s v="Strategic"/>
  </r>
  <r>
    <s v="P204"/>
    <s v="AI Chips"/>
    <s v="South America"/>
    <x v="5"/>
    <n v="32"/>
    <n v="721"/>
    <n v="381.03"/>
    <n v="4"/>
    <n v="5"/>
    <n v="5"/>
    <n v="0"/>
    <s v="Strategic"/>
  </r>
  <r>
    <s v="P205"/>
    <s v="Pharma APIs"/>
    <s v="Asia"/>
    <x v="1"/>
    <n v="85"/>
    <n v="728"/>
    <n v="343.75"/>
    <n v="5"/>
    <n v="4"/>
    <n v="4"/>
    <n v="0"/>
    <s v="Strategic"/>
  </r>
  <r>
    <s v="P206"/>
    <s v="Pharma APIs"/>
    <s v="Africa"/>
    <x v="7"/>
    <n v="27"/>
    <n v="442"/>
    <n v="318.31"/>
    <n v="5"/>
    <n v="3"/>
    <n v="5"/>
    <n v="0"/>
    <s v="Strategic"/>
  </r>
  <r>
    <s v="P207"/>
    <s v="Semiconductors"/>
    <s v="Africa"/>
    <x v="6"/>
    <n v="74"/>
    <n v="216"/>
    <n v="469.01"/>
    <n v="5"/>
    <n v="5"/>
    <n v="5"/>
    <n v="0"/>
    <s v="Strategic"/>
  </r>
  <r>
    <s v="P208"/>
    <s v="Lithium Batteries"/>
    <s v="Asia"/>
    <x v="2"/>
    <n v="35"/>
    <n v="433"/>
    <n v="258.37"/>
    <n v="4"/>
    <n v="5"/>
    <n v="4"/>
    <n v="0"/>
    <s v="Strategic"/>
  </r>
  <r>
    <s v="P209"/>
    <s v="Semiconductors"/>
    <s v="South America"/>
    <x v="0"/>
    <n v="10"/>
    <n v="205"/>
    <n v="374.28"/>
    <n v="4"/>
    <n v="3"/>
    <n v="5"/>
    <n v="0"/>
    <s v="Strategic"/>
  </r>
  <r>
    <s v="P210"/>
    <s v="AI Chips"/>
    <s v="Asia"/>
    <x v="3"/>
    <n v="69"/>
    <n v="450"/>
    <n v="254.34"/>
    <n v="5"/>
    <n v="5"/>
    <n v="5"/>
    <n v="0"/>
    <s v="Strategic"/>
  </r>
  <r>
    <s v="P211"/>
    <s v="Pharma APIs"/>
    <s v="Africa"/>
    <x v="7"/>
    <n v="50"/>
    <n v="135"/>
    <n v="255.57"/>
    <n v="4"/>
    <n v="4"/>
    <n v="5"/>
    <n v="0"/>
    <s v="Strategic"/>
  </r>
  <r>
    <s v="P212"/>
    <s v="Pharma APIs"/>
    <s v="Asia"/>
    <x v="1"/>
    <n v="32"/>
    <n v="240"/>
    <n v="233.69"/>
    <n v="4"/>
    <n v="4"/>
    <n v="4"/>
    <n v="0"/>
    <s v="Strategic"/>
  </r>
  <r>
    <s v="P213"/>
    <s v="Lithium Batteries"/>
    <s v="Asia"/>
    <x v="2"/>
    <n v="43"/>
    <n v="732"/>
    <n v="252.43"/>
    <n v="4"/>
    <n v="5"/>
    <n v="4"/>
    <n v="0"/>
    <s v="Strategic"/>
  </r>
  <r>
    <s v="P214"/>
    <s v="Pharma APIs"/>
    <s v="South America"/>
    <x v="9"/>
    <n v="61"/>
    <n v="159"/>
    <n v="446.78"/>
    <n v="5"/>
    <n v="5"/>
    <n v="4"/>
    <n v="0"/>
    <s v="Strategic"/>
  </r>
  <r>
    <s v="P215"/>
    <s v="AI Chips"/>
    <s v="Asia"/>
    <x v="3"/>
    <n v="54"/>
    <n v="207"/>
    <n v="270.57"/>
    <n v="3"/>
    <n v="4"/>
    <n v="5"/>
    <n v="0"/>
    <s v="Strategic"/>
  </r>
  <r>
    <s v="P216"/>
    <s v="Lithium Batteries"/>
    <s v="South America"/>
    <x v="4"/>
    <n v="63"/>
    <n v="259"/>
    <n v="382.13"/>
    <n v="3"/>
    <n v="3"/>
    <n v="4"/>
    <n v="0"/>
    <s v="Strategic"/>
  </r>
  <r>
    <s v="P217"/>
    <s v="AI Chips"/>
    <s v="South America"/>
    <x v="5"/>
    <n v="45"/>
    <n v="362"/>
    <n v="282.36"/>
    <n v="4"/>
    <n v="4"/>
    <n v="4"/>
    <n v="0"/>
    <s v="Strategic"/>
  </r>
  <r>
    <s v="P218"/>
    <s v="Lithium Batteries"/>
    <s v="South America"/>
    <x v="4"/>
    <n v="38"/>
    <n v="799"/>
    <n v="497.38"/>
    <n v="4"/>
    <n v="4"/>
    <n v="5"/>
    <n v="0"/>
    <s v="Strategic"/>
  </r>
  <r>
    <s v="P219"/>
    <s v="Semiconductors"/>
    <s v="Asia"/>
    <x v="11"/>
    <n v="76"/>
    <n v="840"/>
    <n v="279.47000000000003"/>
    <n v="3"/>
    <n v="5"/>
    <n v="4"/>
    <n v="0"/>
    <s v="Strategic"/>
  </r>
  <r>
    <s v="P220"/>
    <s v="Lithium Batteries"/>
    <s v="Africa"/>
    <x v="8"/>
    <n v="78"/>
    <n v="927"/>
    <n v="332.72"/>
    <n v="3"/>
    <n v="5"/>
    <n v="5"/>
    <n v="0"/>
    <s v="Strategic"/>
  </r>
  <r>
    <s v="P221"/>
    <s v="AI Chips"/>
    <s v="South America"/>
    <x v="5"/>
    <n v="87"/>
    <n v="157"/>
    <n v="269.25"/>
    <n v="5"/>
    <n v="5"/>
    <n v="4"/>
    <n v="0"/>
    <s v="Strategic"/>
  </r>
  <r>
    <s v="P222"/>
    <s v="Semiconductors"/>
    <s v="Asia"/>
    <x v="11"/>
    <n v="37"/>
    <n v="363"/>
    <n v="339.56"/>
    <n v="4"/>
    <n v="3"/>
    <n v="5"/>
    <n v="0"/>
    <s v="Strategic"/>
  </r>
  <r>
    <s v="P223"/>
    <s v="Semiconductors"/>
    <s v="Asia"/>
    <x v="11"/>
    <n v="29"/>
    <n v="545"/>
    <n v="360.75"/>
    <n v="5"/>
    <n v="4"/>
    <n v="5"/>
    <n v="0"/>
    <s v="Strategic"/>
  </r>
  <r>
    <s v="P224"/>
    <s v="Pharma APIs"/>
    <s v="Asia"/>
    <x v="1"/>
    <n v="76"/>
    <n v="971"/>
    <n v="206.01"/>
    <n v="4"/>
    <n v="4"/>
    <n v="5"/>
    <n v="0"/>
    <s v="Strategic"/>
  </r>
  <r>
    <s v="P225"/>
    <s v="AI Chips"/>
    <s v="South America"/>
    <x v="5"/>
    <n v="20"/>
    <n v="260"/>
    <n v="426.58"/>
    <n v="5"/>
    <n v="4"/>
    <n v="4"/>
    <n v="0"/>
    <s v="Strategic"/>
  </r>
  <r>
    <s v="P226"/>
    <s v="Pharma APIs"/>
    <s v="Africa"/>
    <x v="7"/>
    <n v="71"/>
    <n v="677"/>
    <n v="278.93"/>
    <n v="3"/>
    <n v="3"/>
    <n v="4"/>
    <n v="0"/>
    <s v="Strategic"/>
  </r>
  <r>
    <s v="P227"/>
    <s v="Semiconductors"/>
    <s v="South America"/>
    <x v="0"/>
    <n v="49"/>
    <n v="765"/>
    <n v="283.91000000000003"/>
    <n v="5"/>
    <n v="5"/>
    <n v="5"/>
    <n v="0"/>
    <s v="Strategic"/>
  </r>
  <r>
    <s v="P228"/>
    <s v="Semiconductors"/>
    <s v="South America"/>
    <x v="0"/>
    <n v="51"/>
    <n v="589"/>
    <n v="455.43"/>
    <n v="5"/>
    <n v="5"/>
    <n v="5"/>
    <n v="0"/>
    <s v="Strategic"/>
  </r>
  <r>
    <s v="P229"/>
    <s v="Semiconductors"/>
    <s v="Africa"/>
    <x v="6"/>
    <n v="21"/>
    <n v="561"/>
    <n v="359.74"/>
    <n v="5"/>
    <n v="4"/>
    <n v="5"/>
    <n v="0"/>
    <s v="Strategic"/>
  </r>
  <r>
    <s v="P230"/>
    <s v="Lithium Batteries"/>
    <s v="South America"/>
    <x v="4"/>
    <n v="31"/>
    <n v="565"/>
    <n v="246.14"/>
    <n v="3"/>
    <n v="5"/>
    <n v="5"/>
    <n v="0"/>
    <s v="Strategic"/>
  </r>
  <r>
    <s v="P231"/>
    <s v="Lithium Batteries"/>
    <s v="South America"/>
    <x v="4"/>
    <n v="58"/>
    <n v="881"/>
    <n v="476.83"/>
    <n v="5"/>
    <n v="3"/>
    <n v="4"/>
    <n v="0"/>
    <s v="Strategic"/>
  </r>
  <r>
    <s v="P232"/>
    <s v="Semiconductors"/>
    <s v="Asia"/>
    <x v="11"/>
    <n v="85"/>
    <n v="752"/>
    <n v="447.56"/>
    <n v="4"/>
    <n v="3"/>
    <n v="4"/>
    <n v="0"/>
    <s v="Strategic"/>
  </r>
  <r>
    <s v="P233"/>
    <s v="Pharma APIs"/>
    <s v="Africa"/>
    <x v="7"/>
    <n v="66"/>
    <n v="227"/>
    <n v="433.02"/>
    <n v="4"/>
    <n v="5"/>
    <n v="5"/>
    <n v="0"/>
    <s v="Strategic"/>
  </r>
  <r>
    <s v="P234"/>
    <s v="Semiconductors"/>
    <s v="Africa"/>
    <x v="6"/>
    <n v="11"/>
    <n v="353"/>
    <n v="264.81"/>
    <n v="5"/>
    <n v="5"/>
    <n v="5"/>
    <n v="0"/>
    <s v="Strategic"/>
  </r>
  <r>
    <s v="P235"/>
    <s v="Semiconductors"/>
    <s v="Africa"/>
    <x v="6"/>
    <n v="89"/>
    <n v="481"/>
    <n v="263.52999999999997"/>
    <n v="5"/>
    <n v="4"/>
    <n v="4"/>
    <n v="0"/>
    <s v="Strategic"/>
  </r>
  <r>
    <s v="P236"/>
    <s v="Lithium Batteries"/>
    <s v="Asia"/>
    <x v="2"/>
    <n v="58"/>
    <n v="289"/>
    <n v="236.42"/>
    <n v="5"/>
    <n v="3"/>
    <n v="5"/>
    <n v="0"/>
    <s v="Strategic"/>
  </r>
  <r>
    <s v="P237"/>
    <s v="Lithium Batteries"/>
    <s v="Africa"/>
    <x v="8"/>
    <n v="13"/>
    <n v="330"/>
    <n v="358.11"/>
    <n v="5"/>
    <n v="4"/>
    <n v="5"/>
    <n v="0"/>
    <s v="Strategic"/>
  </r>
  <r>
    <s v="P238"/>
    <s v="Semiconductors"/>
    <s v="South America"/>
    <x v="0"/>
    <n v="68"/>
    <n v="840"/>
    <n v="448.26"/>
    <n v="5"/>
    <n v="5"/>
    <n v="4"/>
    <n v="0"/>
    <s v="Strategic"/>
  </r>
  <r>
    <s v="P239"/>
    <s v="Semiconductors"/>
    <s v="Africa"/>
    <x v="6"/>
    <n v="19"/>
    <n v="760"/>
    <n v="437.1"/>
    <n v="3"/>
    <n v="4"/>
    <n v="5"/>
    <n v="0"/>
    <s v="Strategic"/>
  </r>
  <r>
    <s v="P240"/>
    <s v="Lithium Batteries"/>
    <s v="Asia"/>
    <x v="2"/>
    <n v="66"/>
    <n v="792"/>
    <n v="388.79"/>
    <n v="5"/>
    <n v="4"/>
    <n v="5"/>
    <n v="0"/>
    <s v="Strategic"/>
  </r>
  <r>
    <s v="P241"/>
    <s v="Semiconductors"/>
    <s v="South America"/>
    <x v="0"/>
    <n v="58"/>
    <n v="282"/>
    <n v="453.31"/>
    <n v="4"/>
    <n v="5"/>
    <n v="4"/>
    <n v="0"/>
    <s v="Strategic"/>
  </r>
  <r>
    <s v="P242"/>
    <s v="Lithium Batteries"/>
    <s v="Asia"/>
    <x v="2"/>
    <n v="7"/>
    <n v="496"/>
    <n v="435.5"/>
    <n v="4"/>
    <n v="4"/>
    <n v="4"/>
    <n v="0"/>
    <s v="Strategic"/>
  </r>
  <r>
    <s v="P243"/>
    <s v="AI Chips"/>
    <s v="Asia"/>
    <x v="3"/>
    <n v="40"/>
    <n v="109"/>
    <n v="276.39999999999998"/>
    <n v="5"/>
    <n v="5"/>
    <n v="5"/>
    <n v="0"/>
    <s v="Strategic"/>
  </r>
  <r>
    <s v="P244"/>
    <s v="Pharma APIs"/>
    <s v="Asia"/>
    <x v="1"/>
    <n v="38"/>
    <n v="178"/>
    <n v="391"/>
    <n v="5"/>
    <n v="4"/>
    <n v="4"/>
    <n v="0"/>
    <s v="Strategic"/>
  </r>
  <r>
    <s v="P245"/>
    <s v="Pharma APIs"/>
    <s v="Africa"/>
    <x v="7"/>
    <n v="57"/>
    <n v="944"/>
    <n v="404.07"/>
    <n v="3"/>
    <n v="3"/>
    <n v="5"/>
    <n v="0"/>
    <s v="Strategic"/>
  </r>
  <r>
    <s v="P246"/>
    <s v="Pharma APIs"/>
    <s v="Africa"/>
    <x v="7"/>
    <n v="58"/>
    <n v="247"/>
    <n v="210.67"/>
    <n v="4"/>
    <n v="5"/>
    <n v="4"/>
    <n v="0"/>
    <s v="Strategic"/>
  </r>
  <r>
    <s v="P247"/>
    <s v="Semiconductors"/>
    <s v="Asia"/>
    <x v="11"/>
    <n v="14"/>
    <n v="662"/>
    <n v="435.15"/>
    <n v="4"/>
    <n v="4"/>
    <n v="4"/>
    <n v="0"/>
    <s v="Strategic"/>
  </r>
  <r>
    <s v="P248"/>
    <s v="Pharma APIs"/>
    <s v="Asia"/>
    <x v="1"/>
    <n v="85"/>
    <n v="467"/>
    <n v="224.79"/>
    <n v="4"/>
    <n v="5"/>
    <n v="5"/>
    <n v="0"/>
    <s v="Strategic"/>
  </r>
  <r>
    <s v="P249"/>
    <s v="AI Chips"/>
    <s v="Asia"/>
    <x v="3"/>
    <n v="68"/>
    <n v="935"/>
    <n v="276.62"/>
    <n v="4"/>
    <n v="5"/>
    <n v="5"/>
    <n v="0"/>
    <s v="Strategic"/>
  </r>
  <r>
    <s v="P250"/>
    <s v="Semiconductors"/>
    <s v="South America"/>
    <x v="0"/>
    <n v="38"/>
    <n v="751"/>
    <n v="439.61"/>
    <n v="4"/>
    <n v="4"/>
    <n v="4"/>
    <n v="0"/>
    <s v="Bottleneck"/>
  </r>
  <r>
    <s v="P251"/>
    <s v="Customized Valves"/>
    <s v="Asia"/>
    <x v="13"/>
    <n v="79"/>
    <n v="275"/>
    <n v="223.3"/>
    <n v="5"/>
    <n v="3"/>
    <n v="3"/>
    <n v="0"/>
    <s v="Bottleneck"/>
  </r>
  <r>
    <s v="P252"/>
    <s v="Rare Earth Metals"/>
    <s v="Europe"/>
    <x v="14"/>
    <n v="52"/>
    <n v="163"/>
    <n v="210.02"/>
    <n v="4"/>
    <n v="2"/>
    <n v="4"/>
    <n v="0"/>
    <s v="Bottleneck"/>
  </r>
  <r>
    <s v="P253"/>
    <s v="Rare Earth Metals"/>
    <s v="Asia"/>
    <x v="15"/>
    <n v="24"/>
    <n v="81"/>
    <n v="157.18"/>
    <n v="4"/>
    <n v="2"/>
    <n v="4"/>
    <n v="0"/>
    <s v="Bottleneck"/>
  </r>
  <r>
    <s v="P254"/>
    <s v="Rare Earth Metals"/>
    <s v="Asia"/>
    <x v="15"/>
    <n v="28"/>
    <n v="441"/>
    <n v="192.11"/>
    <n v="5"/>
    <n v="3"/>
    <n v="4"/>
    <n v="0"/>
    <s v="Bottleneck"/>
  </r>
  <r>
    <s v="P255"/>
    <s v="Customized Valves"/>
    <s v="Asia"/>
    <x v="13"/>
    <n v="56"/>
    <n v="318"/>
    <n v="207.91"/>
    <n v="5"/>
    <n v="3"/>
    <n v="4"/>
    <n v="0"/>
    <s v="Bottleneck"/>
  </r>
  <r>
    <s v="P256"/>
    <s v="Customized Valves"/>
    <s v="Asia"/>
    <x v="13"/>
    <n v="62"/>
    <n v="93"/>
    <n v="130.13999999999999"/>
    <n v="3"/>
    <n v="1"/>
    <n v="3"/>
    <n v="0"/>
    <s v="Bottleneck"/>
  </r>
  <r>
    <s v="P257"/>
    <s v="Customized Valves"/>
    <s v="Asia"/>
    <x v="13"/>
    <n v="14"/>
    <n v="462"/>
    <n v="213"/>
    <n v="3"/>
    <n v="1"/>
    <n v="4"/>
    <n v="0"/>
    <s v="Bottleneck"/>
  </r>
  <r>
    <s v="P258"/>
    <s v="Specialty Gases"/>
    <s v="Europe"/>
    <x v="16"/>
    <n v="16"/>
    <n v="413"/>
    <n v="262.35000000000002"/>
    <n v="5"/>
    <n v="2"/>
    <n v="3"/>
    <n v="0"/>
    <s v="Bottleneck"/>
  </r>
  <r>
    <s v="P259"/>
    <s v="Rare Earth Metals"/>
    <s v="Asia"/>
    <x v="15"/>
    <n v="64"/>
    <n v="460"/>
    <n v="223.2"/>
    <n v="4"/>
    <n v="2"/>
    <n v="4"/>
    <n v="0"/>
    <s v="Bottleneck"/>
  </r>
  <r>
    <s v="P260"/>
    <s v="Specialty Gases"/>
    <s v="Europe"/>
    <x v="16"/>
    <n v="76"/>
    <n v="170"/>
    <n v="102.21"/>
    <n v="5"/>
    <n v="2"/>
    <n v="4"/>
    <n v="0"/>
    <s v="Bottleneck"/>
  </r>
  <r>
    <s v="P261"/>
    <s v="Catalysts"/>
    <s v="Europe"/>
    <x v="17"/>
    <n v="32"/>
    <n v="160"/>
    <n v="124.94"/>
    <n v="4"/>
    <n v="2"/>
    <n v="3"/>
    <n v="0"/>
    <s v="Bottleneck"/>
  </r>
  <r>
    <s v="P262"/>
    <s v="Rare Earth Metals"/>
    <s v="Europe"/>
    <x v="14"/>
    <n v="26"/>
    <n v="408"/>
    <n v="100.38"/>
    <n v="4"/>
    <n v="1"/>
    <n v="3"/>
    <n v="0"/>
    <s v="Bottleneck"/>
  </r>
  <r>
    <s v="P263"/>
    <s v="Rare Earth Metals"/>
    <s v="Europe"/>
    <x v="14"/>
    <n v="10"/>
    <n v="63"/>
    <n v="196.19"/>
    <n v="4"/>
    <n v="2"/>
    <n v="3"/>
    <n v="0"/>
    <s v="Bottleneck"/>
  </r>
  <r>
    <s v="P264"/>
    <s v="Catalysts"/>
    <s v="Europe"/>
    <x v="17"/>
    <n v="69"/>
    <n v="131"/>
    <n v="235.29"/>
    <n v="5"/>
    <n v="1"/>
    <n v="3"/>
    <n v="0"/>
    <s v="Bottleneck"/>
  </r>
  <r>
    <s v="P265"/>
    <s v="Specialty Gases"/>
    <s v="Asia"/>
    <x v="18"/>
    <n v="54"/>
    <n v="125"/>
    <n v="239.08"/>
    <n v="5"/>
    <n v="3"/>
    <n v="4"/>
    <n v="0"/>
    <s v="Bottleneck"/>
  </r>
  <r>
    <s v="P266"/>
    <s v="Rare Earth Metals"/>
    <s v="Europe"/>
    <x v="14"/>
    <n v="53"/>
    <n v="232"/>
    <n v="165.64"/>
    <n v="4"/>
    <n v="3"/>
    <n v="3"/>
    <n v="0"/>
    <s v="Bottleneck"/>
  </r>
  <r>
    <s v="P267"/>
    <s v="Customized Valves"/>
    <s v="Europe"/>
    <x v="19"/>
    <n v="21"/>
    <n v="210"/>
    <n v="159.88999999999999"/>
    <n v="5"/>
    <n v="3"/>
    <n v="3"/>
    <n v="0"/>
    <s v="Bottleneck"/>
  </r>
  <r>
    <s v="P268"/>
    <s v="Specialty Gases"/>
    <s v="Asia"/>
    <x v="18"/>
    <n v="16"/>
    <n v="408"/>
    <n v="249.44"/>
    <n v="3"/>
    <n v="1"/>
    <n v="3"/>
    <n v="0"/>
    <s v="Bottleneck"/>
  </r>
  <r>
    <s v="P269"/>
    <s v="Specialty Gases"/>
    <s v="Europe"/>
    <x v="16"/>
    <n v="57"/>
    <n v="399"/>
    <n v="240.05"/>
    <n v="3"/>
    <n v="2"/>
    <n v="4"/>
    <n v="0"/>
    <s v="Bottleneck"/>
  </r>
  <r>
    <s v="P270"/>
    <s v="Rare Earth Metals"/>
    <s v="Europe"/>
    <x v="14"/>
    <n v="27"/>
    <n v="459"/>
    <n v="270.55"/>
    <n v="3"/>
    <n v="1"/>
    <n v="3"/>
    <n v="0"/>
    <s v="Bottleneck"/>
  </r>
  <r>
    <s v="P271"/>
    <s v="Specialty Gases"/>
    <s v="Asia"/>
    <x v="18"/>
    <n v="7"/>
    <n v="139"/>
    <n v="241.2"/>
    <n v="5"/>
    <n v="2"/>
    <n v="4"/>
    <n v="0"/>
    <s v="Bottleneck"/>
  </r>
  <r>
    <s v="P272"/>
    <s v="Catalysts"/>
    <s v="Europe"/>
    <x v="17"/>
    <n v="30"/>
    <n v="231"/>
    <n v="253.1"/>
    <n v="3"/>
    <n v="3"/>
    <n v="4"/>
    <n v="0"/>
    <s v="Bottleneck"/>
  </r>
  <r>
    <s v="P273"/>
    <s v="Rare Earth Metals"/>
    <s v="Europe"/>
    <x v="14"/>
    <n v="61"/>
    <n v="413"/>
    <n v="113.79"/>
    <n v="5"/>
    <n v="2"/>
    <n v="4"/>
    <n v="0"/>
    <s v="Bottleneck"/>
  </r>
  <r>
    <s v="P274"/>
    <s v="Catalysts"/>
    <s v="Asia"/>
    <x v="20"/>
    <n v="50"/>
    <n v="449"/>
    <n v="294.97000000000003"/>
    <n v="4"/>
    <n v="2"/>
    <n v="4"/>
    <n v="0"/>
    <s v="Bottleneck"/>
  </r>
  <r>
    <s v="P275"/>
    <s v="Rare Earth Metals"/>
    <s v="Asia"/>
    <x v="15"/>
    <n v="39"/>
    <n v="133"/>
    <n v="106.72"/>
    <n v="3"/>
    <n v="2"/>
    <n v="4"/>
    <n v="0"/>
    <s v="Bottleneck"/>
  </r>
  <r>
    <s v="P276"/>
    <s v="Customized Valves"/>
    <s v="Europe"/>
    <x v="19"/>
    <n v="27"/>
    <n v="209"/>
    <n v="279.97000000000003"/>
    <n v="5"/>
    <n v="3"/>
    <n v="4"/>
    <n v="0"/>
    <s v="Bottleneck"/>
  </r>
  <r>
    <s v="P277"/>
    <s v="Specialty Gases"/>
    <s v="Asia"/>
    <x v="18"/>
    <n v="9"/>
    <n v="191"/>
    <n v="257.54000000000002"/>
    <n v="5"/>
    <n v="1"/>
    <n v="3"/>
    <n v="0"/>
    <s v="Bottleneck"/>
  </r>
  <r>
    <s v="P278"/>
    <s v="Customized Valves"/>
    <s v="Europe"/>
    <x v="19"/>
    <n v="47"/>
    <n v="452"/>
    <n v="213.07"/>
    <n v="4"/>
    <n v="1"/>
    <n v="3"/>
    <n v="0"/>
    <s v="Bottleneck"/>
  </r>
  <r>
    <s v="P279"/>
    <s v="Rare Earth Metals"/>
    <s v="Asia"/>
    <x v="15"/>
    <n v="34"/>
    <n v="376"/>
    <n v="145.06"/>
    <n v="4"/>
    <n v="1"/>
    <n v="4"/>
    <n v="0"/>
    <s v="Bottleneck"/>
  </r>
  <r>
    <s v="P280"/>
    <s v="Specialty Gases"/>
    <s v="Europe"/>
    <x v="16"/>
    <n v="71"/>
    <n v="226"/>
    <n v="258.33999999999997"/>
    <n v="4"/>
    <n v="1"/>
    <n v="3"/>
    <n v="0"/>
    <s v="Bottleneck"/>
  </r>
  <r>
    <s v="P281"/>
    <s v="Specialty Gases"/>
    <s v="Europe"/>
    <x v="16"/>
    <n v="45"/>
    <n v="161"/>
    <n v="289.14"/>
    <n v="5"/>
    <n v="1"/>
    <n v="3"/>
    <n v="0"/>
    <s v="Bottleneck"/>
  </r>
  <r>
    <s v="P282"/>
    <s v="Specialty Gases"/>
    <s v="Asia"/>
    <x v="18"/>
    <n v="55"/>
    <n v="343"/>
    <n v="257.39"/>
    <n v="5"/>
    <n v="3"/>
    <n v="4"/>
    <n v="0"/>
    <s v="Bottleneck"/>
  </r>
  <r>
    <s v="P283"/>
    <s v="Catalysts"/>
    <s v="Europe"/>
    <x v="17"/>
    <n v="85"/>
    <n v="203"/>
    <n v="274.43"/>
    <n v="5"/>
    <n v="2"/>
    <n v="3"/>
    <n v="0"/>
    <s v="Bottleneck"/>
  </r>
  <r>
    <s v="P284"/>
    <s v="Specialty Gases"/>
    <s v="Europe"/>
    <x v="16"/>
    <n v="69"/>
    <n v="430"/>
    <n v="151.1"/>
    <n v="5"/>
    <n v="1"/>
    <n v="3"/>
    <n v="0"/>
    <s v="Bottleneck"/>
  </r>
  <r>
    <s v="P285"/>
    <s v="Specialty Gases"/>
    <s v="Asia"/>
    <x v="18"/>
    <n v="58"/>
    <n v="93"/>
    <n v="192.79"/>
    <n v="4"/>
    <n v="3"/>
    <n v="3"/>
    <n v="0"/>
    <s v="Bottleneck"/>
  </r>
  <r>
    <s v="P286"/>
    <s v="Customized Valves"/>
    <s v="Europe"/>
    <x v="19"/>
    <n v="42"/>
    <n v="452"/>
    <n v="176.08"/>
    <n v="4"/>
    <n v="1"/>
    <n v="3"/>
    <n v="0"/>
    <s v="Bottleneck"/>
  </r>
  <r>
    <s v="P287"/>
    <s v="Rare Earth Metals"/>
    <s v="Europe"/>
    <x v="14"/>
    <n v="66"/>
    <n v="96"/>
    <n v="259.58"/>
    <n v="4"/>
    <n v="2"/>
    <n v="3"/>
    <n v="0"/>
    <s v="Bottleneck"/>
  </r>
  <r>
    <s v="P288"/>
    <s v="Catalysts"/>
    <s v="Asia"/>
    <x v="20"/>
    <n v="46"/>
    <n v="385"/>
    <n v="133.21"/>
    <n v="5"/>
    <n v="3"/>
    <n v="3"/>
    <n v="0"/>
    <s v="Bottleneck"/>
  </r>
  <r>
    <s v="P289"/>
    <s v="Specialty Gases"/>
    <s v="Europe"/>
    <x v="16"/>
    <n v="10"/>
    <n v="57"/>
    <n v="140.4"/>
    <n v="5"/>
    <n v="1"/>
    <n v="3"/>
    <n v="0"/>
    <s v="Bottleneck"/>
  </r>
  <r>
    <s v="P290"/>
    <s v="Specialty Gases"/>
    <s v="Europe"/>
    <x v="16"/>
    <n v="69"/>
    <n v="81"/>
    <n v="116.69"/>
    <n v="5"/>
    <n v="1"/>
    <n v="3"/>
    <n v="0"/>
    <s v="Bottleneck"/>
  </r>
  <r>
    <s v="P291"/>
    <s v="Rare Earth Metals"/>
    <s v="Europe"/>
    <x v="14"/>
    <n v="65"/>
    <n v="318"/>
    <n v="233.58"/>
    <n v="4"/>
    <n v="2"/>
    <n v="4"/>
    <n v="0"/>
    <s v="Bottleneck"/>
  </r>
  <r>
    <s v="P292"/>
    <s v="Customized Valves"/>
    <s v="Europe"/>
    <x v="19"/>
    <n v="11"/>
    <n v="180"/>
    <n v="237.37"/>
    <n v="5"/>
    <n v="1"/>
    <n v="3"/>
    <n v="0"/>
    <s v="Bottleneck"/>
  </r>
  <r>
    <s v="P293"/>
    <s v="Customized Valves"/>
    <s v="Asia"/>
    <x v="13"/>
    <n v="72"/>
    <n v="421"/>
    <n v="271.64"/>
    <n v="3"/>
    <n v="3"/>
    <n v="4"/>
    <n v="0"/>
    <s v="Bottleneck"/>
  </r>
  <r>
    <s v="P294"/>
    <s v="Customized Valves"/>
    <s v="Europe"/>
    <x v="19"/>
    <n v="27"/>
    <n v="265"/>
    <n v="162.81"/>
    <n v="5"/>
    <n v="2"/>
    <n v="4"/>
    <n v="0"/>
    <s v="Bottleneck"/>
  </r>
  <r>
    <s v="P295"/>
    <s v="Catalysts"/>
    <s v="Asia"/>
    <x v="20"/>
    <n v="64"/>
    <n v="212"/>
    <n v="120.13"/>
    <n v="5"/>
    <n v="2"/>
    <n v="4"/>
    <n v="0"/>
    <s v="Bottleneck"/>
  </r>
  <r>
    <s v="P296"/>
    <s v="Customized Valves"/>
    <s v="Asia"/>
    <x v="13"/>
    <n v="41"/>
    <n v="199"/>
    <n v="224.19"/>
    <n v="4"/>
    <n v="2"/>
    <n v="3"/>
    <n v="0"/>
    <s v="Bottleneck"/>
  </r>
  <r>
    <s v="P297"/>
    <s v="Rare Earth Metals"/>
    <s v="Europe"/>
    <x v="14"/>
    <n v="76"/>
    <n v="115"/>
    <n v="235.24"/>
    <n v="5"/>
    <n v="2"/>
    <n v="3"/>
    <n v="0"/>
    <s v="Bottleneck"/>
  </r>
  <r>
    <s v="P298"/>
    <s v="Rare Earth Metals"/>
    <s v="Asia"/>
    <x v="15"/>
    <n v="53"/>
    <n v="296"/>
    <n v="298.35000000000002"/>
    <n v="5"/>
    <n v="1"/>
    <n v="3"/>
    <n v="0"/>
    <s v="Bottleneck"/>
  </r>
  <r>
    <s v="P299"/>
    <s v="Specialty Gases"/>
    <s v="Europe"/>
    <x v="16"/>
    <n v="45"/>
    <n v="362"/>
    <n v="113.7"/>
    <n v="4"/>
    <n v="1"/>
    <n v="3"/>
    <n v="0"/>
    <s v="Bottleneck"/>
  </r>
  <r>
    <s v="P300"/>
    <s v="Rare Earth Metals"/>
    <s v="Asia"/>
    <x v="15"/>
    <n v="65"/>
    <n v="259"/>
    <n v="233"/>
    <n v="5"/>
    <n v="3"/>
    <n v="3"/>
    <n v="0"/>
    <s v="Bottleneck"/>
  </r>
  <r>
    <s v="P301"/>
    <s v="Customized Valves"/>
    <s v="Europe"/>
    <x v="19"/>
    <n v="36"/>
    <n v="191"/>
    <n v="175.9"/>
    <n v="5"/>
    <n v="3"/>
    <n v="4"/>
    <n v="0"/>
    <s v="Bottleneck"/>
  </r>
  <r>
    <s v="P302"/>
    <s v="Customized Valves"/>
    <s v="Europe"/>
    <x v="19"/>
    <n v="28"/>
    <n v="330"/>
    <n v="184.51"/>
    <n v="5"/>
    <n v="2"/>
    <n v="4"/>
    <n v="0"/>
    <s v="Bottleneck"/>
  </r>
  <r>
    <s v="P303"/>
    <s v="Catalysts"/>
    <s v="Europe"/>
    <x v="17"/>
    <n v="84"/>
    <n v="436"/>
    <n v="294.56"/>
    <n v="3"/>
    <n v="2"/>
    <n v="4"/>
    <n v="0"/>
    <s v="Bottleneck"/>
  </r>
  <r>
    <s v="P304"/>
    <s v="Customized Valves"/>
    <s v="Europe"/>
    <x v="19"/>
    <n v="59"/>
    <n v="170"/>
    <n v="225.65"/>
    <n v="4"/>
    <n v="1"/>
    <n v="4"/>
    <n v="0"/>
    <s v="Bottleneck"/>
  </r>
  <r>
    <s v="P305"/>
    <s v="Rare Earth Metals"/>
    <s v="Europe"/>
    <x v="14"/>
    <n v="81"/>
    <n v="314"/>
    <n v="152.66"/>
    <n v="4"/>
    <n v="2"/>
    <n v="4"/>
    <n v="0"/>
    <s v="Bottleneck"/>
  </r>
  <r>
    <s v="P306"/>
    <s v="Rare Earth Metals"/>
    <s v="Europe"/>
    <x v="14"/>
    <n v="47"/>
    <n v="271"/>
    <n v="159.97999999999999"/>
    <n v="4"/>
    <n v="1"/>
    <n v="3"/>
    <n v="0"/>
    <s v="Bottleneck"/>
  </r>
  <r>
    <s v="P307"/>
    <s v="Catalysts"/>
    <s v="Europe"/>
    <x v="17"/>
    <n v="70"/>
    <n v="111"/>
    <n v="115.79"/>
    <n v="5"/>
    <n v="2"/>
    <n v="3"/>
    <n v="0"/>
    <s v="Bottleneck"/>
  </r>
  <r>
    <s v="P308"/>
    <s v="Specialty Gases"/>
    <s v="Asia"/>
    <x v="18"/>
    <n v="79"/>
    <n v="374"/>
    <n v="204.29"/>
    <n v="4"/>
    <n v="1"/>
    <n v="4"/>
    <n v="0"/>
    <s v="Bottleneck"/>
  </r>
  <r>
    <s v="P309"/>
    <s v="Rare Earth Metals"/>
    <s v="Asia"/>
    <x v="15"/>
    <n v="46"/>
    <n v="265"/>
    <n v="273.70999999999998"/>
    <n v="5"/>
    <n v="3"/>
    <n v="4"/>
    <n v="0"/>
    <s v="Bottleneck"/>
  </r>
  <r>
    <s v="P310"/>
    <s v="Catalysts"/>
    <s v="Europe"/>
    <x v="17"/>
    <n v="27"/>
    <n v="64"/>
    <n v="192.89"/>
    <n v="4"/>
    <n v="2"/>
    <n v="3"/>
    <n v="0"/>
    <s v="Bottleneck"/>
  </r>
  <r>
    <s v="P311"/>
    <s v="Customized Valves"/>
    <s v="Europe"/>
    <x v="19"/>
    <n v="73"/>
    <n v="228"/>
    <n v="257.76"/>
    <n v="5"/>
    <n v="1"/>
    <n v="4"/>
    <n v="0"/>
    <s v="Bottleneck"/>
  </r>
  <r>
    <s v="P312"/>
    <s v="Specialty Gases"/>
    <s v="Europe"/>
    <x v="16"/>
    <n v="12"/>
    <n v="396"/>
    <n v="154.31"/>
    <n v="5"/>
    <n v="2"/>
    <n v="3"/>
    <n v="0"/>
    <s v="Bottleneck"/>
  </r>
  <r>
    <s v="P313"/>
    <s v="Specialty Gases"/>
    <s v="Europe"/>
    <x v="16"/>
    <n v="71"/>
    <n v="317"/>
    <n v="172.37"/>
    <n v="5"/>
    <n v="2"/>
    <n v="4"/>
    <n v="0"/>
    <s v="Bottleneck"/>
  </r>
  <r>
    <s v="P314"/>
    <s v="Rare Earth Metals"/>
    <s v="Asia"/>
    <x v="15"/>
    <n v="67"/>
    <n v="473"/>
    <n v="196.41"/>
    <n v="3"/>
    <n v="1"/>
    <n v="4"/>
    <n v="0"/>
    <s v="Bottleneck"/>
  </r>
  <r>
    <s v="P315"/>
    <s v="Specialty Gases"/>
    <s v="Asia"/>
    <x v="18"/>
    <n v="55"/>
    <n v="185"/>
    <n v="109.9"/>
    <n v="4"/>
    <n v="3"/>
    <n v="3"/>
    <n v="0"/>
    <s v="Bottleneck"/>
  </r>
  <r>
    <s v="P316"/>
    <s v="Catalysts"/>
    <s v="Asia"/>
    <x v="20"/>
    <n v="23"/>
    <n v="431"/>
    <n v="158.69999999999999"/>
    <n v="4"/>
    <n v="1"/>
    <n v="3"/>
    <n v="0"/>
    <s v="Bottleneck"/>
  </r>
  <r>
    <s v="P317"/>
    <s v="Catalysts"/>
    <s v="Europe"/>
    <x v="17"/>
    <n v="25"/>
    <n v="232"/>
    <n v="275.97000000000003"/>
    <n v="5"/>
    <n v="1"/>
    <n v="3"/>
    <n v="0"/>
    <s v="Bottleneck"/>
  </r>
  <r>
    <s v="P318"/>
    <s v="Customized Valves"/>
    <s v="Europe"/>
    <x v="19"/>
    <n v="18"/>
    <n v="50"/>
    <n v="154.94999999999999"/>
    <n v="3"/>
    <n v="1"/>
    <n v="4"/>
    <n v="0"/>
    <s v="Bottleneck"/>
  </r>
  <r>
    <s v="P319"/>
    <s v="Rare Earth Metals"/>
    <s v="Europe"/>
    <x v="14"/>
    <n v="52"/>
    <n v="152"/>
    <n v="264.76"/>
    <n v="4"/>
    <n v="2"/>
    <n v="4"/>
    <n v="0"/>
    <s v="Bottleneck"/>
  </r>
  <r>
    <s v="P320"/>
    <s v="Customized Valves"/>
    <s v="Europe"/>
    <x v="19"/>
    <n v="39"/>
    <n v="226"/>
    <n v="265.92"/>
    <n v="5"/>
    <n v="1"/>
    <n v="3"/>
    <n v="0"/>
    <s v="Bottleneck"/>
  </r>
  <r>
    <s v="P321"/>
    <s v="Customized Valves"/>
    <s v="Asia"/>
    <x v="13"/>
    <n v="21"/>
    <n v="288"/>
    <n v="118.46"/>
    <n v="4"/>
    <n v="2"/>
    <n v="4"/>
    <n v="0"/>
    <s v="Bottleneck"/>
  </r>
  <r>
    <s v="P322"/>
    <s v="Rare Earth Metals"/>
    <s v="Asia"/>
    <x v="15"/>
    <n v="20"/>
    <n v="154"/>
    <n v="233.71"/>
    <n v="3"/>
    <n v="2"/>
    <n v="4"/>
    <n v="0"/>
    <s v="Bottleneck"/>
  </r>
  <r>
    <s v="P323"/>
    <s v="Specialty Gases"/>
    <s v="Europe"/>
    <x v="16"/>
    <n v="8"/>
    <n v="88"/>
    <n v="123.15"/>
    <n v="5"/>
    <n v="1"/>
    <n v="4"/>
    <n v="0"/>
    <s v="Bottleneck"/>
  </r>
  <r>
    <s v="P324"/>
    <s v="Rare Earth Metals"/>
    <s v="Europe"/>
    <x v="14"/>
    <n v="71"/>
    <n v="345"/>
    <n v="206.79"/>
    <n v="5"/>
    <n v="2"/>
    <n v="4"/>
    <n v="0"/>
    <s v="Bottleneck"/>
  </r>
  <r>
    <s v="P325"/>
    <s v="Customized Valves"/>
    <s v="Asia"/>
    <x v="13"/>
    <n v="30"/>
    <n v="262"/>
    <n v="108.75"/>
    <n v="3"/>
    <n v="2"/>
    <n v="4"/>
    <n v="0"/>
    <s v="Bottleneck"/>
  </r>
  <r>
    <s v="P326"/>
    <s v="Rare Earth Metals"/>
    <s v="Asia"/>
    <x v="15"/>
    <n v="59"/>
    <n v="156"/>
    <n v="177.48"/>
    <n v="5"/>
    <n v="1"/>
    <n v="4"/>
    <n v="0"/>
    <s v="Bottleneck"/>
  </r>
  <r>
    <s v="P327"/>
    <s v="Specialty Gases"/>
    <s v="Europe"/>
    <x v="16"/>
    <n v="69"/>
    <n v="403"/>
    <n v="189.28"/>
    <n v="5"/>
    <n v="1"/>
    <n v="4"/>
    <n v="0"/>
    <s v="Bottleneck"/>
  </r>
  <r>
    <s v="P328"/>
    <s v="Customized Valves"/>
    <s v="Asia"/>
    <x v="13"/>
    <n v="62"/>
    <n v="362"/>
    <n v="216.44"/>
    <n v="5"/>
    <n v="1"/>
    <n v="4"/>
    <n v="0"/>
    <s v="Bottleneck"/>
  </r>
  <r>
    <s v="P329"/>
    <s v="Catalysts"/>
    <s v="Europe"/>
    <x v="17"/>
    <n v="80"/>
    <n v="105"/>
    <n v="128.52000000000001"/>
    <n v="5"/>
    <n v="1"/>
    <n v="3"/>
    <n v="0"/>
    <s v="Bottleneck"/>
  </r>
  <r>
    <s v="P330"/>
    <s v="Catalysts"/>
    <s v="Europe"/>
    <x v="17"/>
    <n v="54"/>
    <n v="175"/>
    <n v="101.34"/>
    <n v="4"/>
    <n v="2"/>
    <n v="3"/>
    <n v="0"/>
    <s v="Bottleneck"/>
  </r>
  <r>
    <s v="P331"/>
    <s v="Catalysts"/>
    <s v="Europe"/>
    <x v="17"/>
    <n v="65"/>
    <n v="80"/>
    <n v="211.94"/>
    <n v="4"/>
    <n v="2"/>
    <n v="4"/>
    <n v="0"/>
    <s v="Bottleneck"/>
  </r>
  <r>
    <s v="P332"/>
    <s v="Customized Valves"/>
    <s v="Europe"/>
    <x v="19"/>
    <n v="57"/>
    <n v="204"/>
    <n v="176.84"/>
    <n v="5"/>
    <n v="1"/>
    <n v="4"/>
    <n v="0"/>
    <s v="Bottleneck"/>
  </r>
  <r>
    <s v="P333"/>
    <s v="Specialty Gases"/>
    <s v="Europe"/>
    <x v="16"/>
    <n v="48"/>
    <n v="294"/>
    <n v="129.41"/>
    <n v="4"/>
    <n v="1"/>
    <n v="4"/>
    <n v="0"/>
    <s v="Bottleneck"/>
  </r>
  <r>
    <s v="P334"/>
    <s v="Catalysts"/>
    <s v="Asia"/>
    <x v="20"/>
    <n v="65"/>
    <n v="245"/>
    <n v="277.68"/>
    <n v="3"/>
    <n v="1"/>
    <n v="4"/>
    <n v="0"/>
    <s v="Bottleneck"/>
  </r>
  <r>
    <s v="P335"/>
    <s v="Customized Valves"/>
    <s v="Asia"/>
    <x v="13"/>
    <n v="55"/>
    <n v="273"/>
    <n v="106.19"/>
    <n v="4"/>
    <n v="1"/>
    <n v="4"/>
    <n v="0"/>
    <s v="Bottleneck"/>
  </r>
  <r>
    <s v="P336"/>
    <s v="Rare Earth Metals"/>
    <s v="Europe"/>
    <x v="14"/>
    <n v="57"/>
    <n v="428"/>
    <n v="252.38"/>
    <n v="5"/>
    <n v="1"/>
    <n v="3"/>
    <n v="0"/>
    <s v="Bottleneck"/>
  </r>
  <r>
    <s v="P337"/>
    <s v="Specialty Gases"/>
    <s v="Europe"/>
    <x v="16"/>
    <n v="69"/>
    <n v="70"/>
    <n v="168.49"/>
    <n v="5"/>
    <n v="1"/>
    <n v="4"/>
    <n v="0"/>
    <s v="Bottleneck"/>
  </r>
  <r>
    <s v="P338"/>
    <s v="Catalysts"/>
    <s v="Asia"/>
    <x v="20"/>
    <n v="88"/>
    <n v="403"/>
    <n v="130.1"/>
    <n v="3"/>
    <n v="2"/>
    <n v="3"/>
    <n v="0"/>
    <s v="Bottleneck"/>
  </r>
  <r>
    <s v="P339"/>
    <s v="Catalysts"/>
    <s v="Europe"/>
    <x v="17"/>
    <n v="42"/>
    <n v="324"/>
    <n v="258.5"/>
    <n v="4"/>
    <n v="1"/>
    <n v="3"/>
    <n v="0"/>
    <s v="Bottleneck"/>
  </r>
  <r>
    <s v="P340"/>
    <s v="Specialty Gases"/>
    <s v="Asia"/>
    <x v="18"/>
    <n v="27"/>
    <n v="166"/>
    <n v="292.81"/>
    <n v="5"/>
    <n v="1"/>
    <n v="4"/>
    <n v="0"/>
    <s v="Bottleneck"/>
  </r>
  <r>
    <s v="P341"/>
    <s v="Specialty Gases"/>
    <s v="Europe"/>
    <x v="16"/>
    <n v="25"/>
    <n v="233"/>
    <n v="124.96"/>
    <n v="4"/>
    <n v="1"/>
    <n v="4"/>
    <n v="0"/>
    <s v="Bottleneck"/>
  </r>
  <r>
    <s v="P342"/>
    <s v="Specialty Gases"/>
    <s v="Europe"/>
    <x v="16"/>
    <n v="39"/>
    <n v="401"/>
    <n v="196.68"/>
    <n v="5"/>
    <n v="3"/>
    <n v="4"/>
    <n v="0"/>
    <s v="Bottleneck"/>
  </r>
  <r>
    <s v="P343"/>
    <s v="Specialty Gases"/>
    <s v="Europe"/>
    <x v="16"/>
    <n v="59"/>
    <n v="252"/>
    <n v="177.31"/>
    <n v="4"/>
    <n v="2"/>
    <n v="4"/>
    <n v="0"/>
    <s v="Bottleneck"/>
  </r>
  <r>
    <s v="P344"/>
    <s v="Specialty Gases"/>
    <s v="Asia"/>
    <x v="18"/>
    <n v="54"/>
    <n v="224"/>
    <n v="188.69"/>
    <n v="3"/>
    <n v="3"/>
    <n v="3"/>
    <n v="0"/>
    <s v="Bottleneck"/>
  </r>
  <r>
    <s v="P345"/>
    <s v="Customized Valves"/>
    <s v="Europe"/>
    <x v="19"/>
    <n v="44"/>
    <n v="386"/>
    <n v="270.79000000000002"/>
    <n v="5"/>
    <n v="3"/>
    <n v="3"/>
    <n v="0"/>
    <s v="Bottleneck"/>
  </r>
  <r>
    <s v="P346"/>
    <s v="Customized Valves"/>
    <s v="Europe"/>
    <x v="19"/>
    <n v="49"/>
    <n v="238"/>
    <n v="202.09"/>
    <n v="4"/>
    <n v="1"/>
    <n v="3"/>
    <n v="0"/>
    <s v="Bottleneck"/>
  </r>
  <r>
    <s v="P347"/>
    <s v="Customized Valves"/>
    <s v="Europe"/>
    <x v="19"/>
    <n v="62"/>
    <n v="175"/>
    <n v="126.89"/>
    <n v="4"/>
    <n v="3"/>
    <n v="3"/>
    <n v="0"/>
    <s v="Bottleneck"/>
  </r>
  <r>
    <s v="P348"/>
    <s v="Specialty Gases"/>
    <s v="Asia"/>
    <x v="18"/>
    <n v="13"/>
    <n v="68"/>
    <n v="101.77"/>
    <n v="5"/>
    <n v="2"/>
    <n v="4"/>
    <n v="0"/>
    <s v="Bottleneck"/>
  </r>
  <r>
    <s v="P349"/>
    <s v="Customized Valves"/>
    <s v="Europe"/>
    <x v="19"/>
    <n v="7"/>
    <n v="50"/>
    <n v="266.83"/>
    <n v="3"/>
    <n v="1"/>
    <n v="3"/>
    <n v="0"/>
    <s v="Bottleneck"/>
  </r>
  <r>
    <s v="P350"/>
    <s v="Catalysts"/>
    <s v="Europe"/>
    <x v="17"/>
    <n v="81"/>
    <n v="72"/>
    <n v="120.88"/>
    <n v="4"/>
    <n v="3"/>
    <n v="3"/>
    <n v="0"/>
    <s v="Bottleneck"/>
  </r>
  <r>
    <s v="P351"/>
    <s v="Customized Valves"/>
    <s v="Asia"/>
    <x v="13"/>
    <n v="22"/>
    <n v="222"/>
    <n v="226.42"/>
    <n v="5"/>
    <n v="2"/>
    <n v="4"/>
    <n v="0"/>
    <s v="Bottleneck"/>
  </r>
  <r>
    <s v="P352"/>
    <s v="Specialty Gases"/>
    <s v="Europe"/>
    <x v="16"/>
    <n v="19"/>
    <n v="283"/>
    <n v="200.12"/>
    <n v="5"/>
    <n v="1"/>
    <n v="4"/>
    <n v="0"/>
    <s v="Bottleneck"/>
  </r>
  <r>
    <s v="P353"/>
    <s v="Catalysts"/>
    <s v="Europe"/>
    <x v="17"/>
    <n v="33"/>
    <n v="344"/>
    <n v="146.47999999999999"/>
    <n v="4"/>
    <n v="2"/>
    <n v="3"/>
    <n v="0"/>
    <s v="Bottleneck"/>
  </r>
  <r>
    <s v="P354"/>
    <s v="Specialty Gases"/>
    <s v="Asia"/>
    <x v="18"/>
    <n v="25"/>
    <n v="370"/>
    <n v="195.29"/>
    <n v="3"/>
    <n v="1"/>
    <n v="3"/>
    <n v="0"/>
    <s v="Bottleneck"/>
  </r>
  <r>
    <s v="P355"/>
    <s v="Rare Earth Metals"/>
    <s v="Europe"/>
    <x v="14"/>
    <n v="16"/>
    <n v="80"/>
    <n v="251.92"/>
    <n v="4"/>
    <n v="1"/>
    <n v="3"/>
    <n v="0"/>
    <s v="Bottleneck"/>
  </r>
  <r>
    <s v="P356"/>
    <s v="Catalysts"/>
    <s v="Europe"/>
    <x v="17"/>
    <n v="30"/>
    <n v="209"/>
    <n v="114.36"/>
    <n v="5"/>
    <n v="1"/>
    <n v="4"/>
    <n v="0"/>
    <s v="Bottleneck"/>
  </r>
  <r>
    <s v="P357"/>
    <s v="Customized Valves"/>
    <s v="Europe"/>
    <x v="19"/>
    <n v="84"/>
    <n v="254"/>
    <n v="204.03"/>
    <n v="5"/>
    <n v="3"/>
    <n v="3"/>
    <n v="0"/>
    <s v="Bottleneck"/>
  </r>
  <r>
    <s v="P358"/>
    <s v="Specialty Gases"/>
    <s v="Asia"/>
    <x v="18"/>
    <n v="32"/>
    <n v="124"/>
    <n v="225.91"/>
    <n v="4"/>
    <n v="3"/>
    <n v="3"/>
    <n v="0"/>
    <s v="Bottleneck"/>
  </r>
  <r>
    <s v="P359"/>
    <s v="Specialty Gases"/>
    <s v="Asia"/>
    <x v="18"/>
    <n v="50"/>
    <n v="392"/>
    <n v="241.4"/>
    <n v="5"/>
    <n v="1"/>
    <n v="4"/>
    <n v="0"/>
    <s v="Bottleneck"/>
  </r>
  <r>
    <s v="P360"/>
    <s v="Rare Earth Metals"/>
    <s v="Asia"/>
    <x v="15"/>
    <n v="50"/>
    <n v="170"/>
    <n v="286.18"/>
    <n v="5"/>
    <n v="1"/>
    <n v="3"/>
    <n v="0"/>
    <s v="Bottleneck"/>
  </r>
  <r>
    <s v="P361"/>
    <s v="Catalysts"/>
    <s v="Europe"/>
    <x v="17"/>
    <n v="23"/>
    <n v="190"/>
    <n v="278.37"/>
    <n v="5"/>
    <n v="1"/>
    <n v="3"/>
    <n v="0"/>
    <s v="Bottleneck"/>
  </r>
  <r>
    <s v="P362"/>
    <s v="Specialty Gases"/>
    <s v="Asia"/>
    <x v="18"/>
    <n v="29"/>
    <n v="365"/>
    <n v="212.93"/>
    <n v="4"/>
    <n v="3"/>
    <n v="3"/>
    <n v="0"/>
    <s v="Bottleneck"/>
  </r>
  <r>
    <s v="P363"/>
    <s v="Rare Earth Metals"/>
    <s v="Asia"/>
    <x v="15"/>
    <n v="79"/>
    <n v="466"/>
    <n v="233.28"/>
    <n v="5"/>
    <n v="1"/>
    <n v="4"/>
    <n v="0"/>
    <s v="Bottleneck"/>
  </r>
  <r>
    <s v="P364"/>
    <s v="Rare Earth Metals"/>
    <s v="Europe"/>
    <x v="14"/>
    <n v="53"/>
    <n v="342"/>
    <n v="226.87"/>
    <n v="5"/>
    <n v="1"/>
    <n v="4"/>
    <n v="0"/>
    <s v="Bottleneck"/>
  </r>
  <r>
    <s v="P365"/>
    <s v="Catalysts"/>
    <s v="Asia"/>
    <x v="20"/>
    <n v="19"/>
    <n v="285"/>
    <n v="173.74"/>
    <n v="4"/>
    <n v="2"/>
    <n v="3"/>
    <n v="0"/>
    <s v="Bottleneck"/>
  </r>
  <r>
    <s v="P366"/>
    <s v="Catalysts"/>
    <s v="Europe"/>
    <x v="17"/>
    <n v="51"/>
    <n v="378"/>
    <n v="142.4"/>
    <n v="4"/>
    <n v="1"/>
    <n v="4"/>
    <n v="0"/>
    <s v="Bottleneck"/>
  </r>
  <r>
    <s v="P367"/>
    <s v="Rare Earth Metals"/>
    <s v="Europe"/>
    <x v="14"/>
    <n v="34"/>
    <n v="312"/>
    <n v="127.32"/>
    <n v="5"/>
    <n v="1"/>
    <n v="4"/>
    <n v="0"/>
    <s v="Bottleneck"/>
  </r>
  <r>
    <s v="P368"/>
    <s v="Catalysts"/>
    <s v="Asia"/>
    <x v="20"/>
    <n v="60"/>
    <n v="70"/>
    <n v="215.84"/>
    <n v="4"/>
    <n v="1"/>
    <n v="4"/>
    <n v="0"/>
    <s v="Bottleneck"/>
  </r>
  <r>
    <s v="P369"/>
    <s v="Specialty Gases"/>
    <s v="Europe"/>
    <x v="16"/>
    <n v="87"/>
    <n v="123"/>
    <n v="119.97"/>
    <n v="4"/>
    <n v="2"/>
    <n v="4"/>
    <n v="0"/>
    <s v="Bottleneck"/>
  </r>
  <r>
    <s v="P370"/>
    <s v="Catalysts"/>
    <s v="Europe"/>
    <x v="17"/>
    <n v="49"/>
    <n v="436"/>
    <n v="106.28"/>
    <n v="5"/>
    <n v="1"/>
    <n v="3"/>
    <n v="0"/>
    <s v="Bottleneck"/>
  </r>
  <r>
    <s v="P371"/>
    <s v="Rare Earth Metals"/>
    <s v="Europe"/>
    <x v="14"/>
    <n v="64"/>
    <n v="279"/>
    <n v="203.81"/>
    <n v="5"/>
    <n v="1"/>
    <n v="3"/>
    <n v="0"/>
    <s v="Bottleneck"/>
  </r>
  <r>
    <s v="P372"/>
    <s v="Catalysts"/>
    <s v="Europe"/>
    <x v="17"/>
    <n v="13"/>
    <n v="236"/>
    <n v="103.39"/>
    <n v="3"/>
    <n v="2"/>
    <n v="3"/>
    <n v="0"/>
    <s v="Bottleneck"/>
  </r>
  <r>
    <s v="P373"/>
    <s v="Catalysts"/>
    <s v="Asia"/>
    <x v="20"/>
    <n v="83"/>
    <n v="104"/>
    <n v="168.36"/>
    <n v="5"/>
    <n v="2"/>
    <n v="4"/>
    <n v="0"/>
    <s v="Bottleneck"/>
  </r>
  <r>
    <s v="P374"/>
    <s v="Customized Valves"/>
    <s v="Asia"/>
    <x v="13"/>
    <n v="65"/>
    <n v="209"/>
    <n v="235.12"/>
    <n v="4"/>
    <n v="1"/>
    <n v="3"/>
    <n v="0"/>
    <s v="Bottleneck"/>
  </r>
  <r>
    <s v="P375"/>
    <s v="Catalysts"/>
    <s v="Asia"/>
    <x v="20"/>
    <n v="50"/>
    <n v="206"/>
    <n v="242.03"/>
    <n v="5"/>
    <n v="2"/>
    <n v="4"/>
    <n v="0"/>
    <s v="Bottleneck"/>
  </r>
  <r>
    <s v="P376"/>
    <s v="Specialty Gases"/>
    <s v="Europe"/>
    <x v="16"/>
    <n v="21"/>
    <n v="168"/>
    <n v="298.04000000000002"/>
    <n v="5"/>
    <n v="3"/>
    <n v="3"/>
    <n v="0"/>
    <s v="Bottleneck"/>
  </r>
  <r>
    <s v="P377"/>
    <s v="Catalysts"/>
    <s v="Europe"/>
    <x v="17"/>
    <n v="31"/>
    <n v="108"/>
    <n v="173.14"/>
    <n v="4"/>
    <n v="2"/>
    <n v="4"/>
    <n v="0"/>
    <s v="Bottleneck"/>
  </r>
  <r>
    <s v="P378"/>
    <s v="Specialty Gases"/>
    <s v="Asia"/>
    <x v="18"/>
    <n v="71"/>
    <n v="230"/>
    <n v="155.25"/>
    <n v="5"/>
    <n v="2"/>
    <n v="4"/>
    <n v="0"/>
    <s v="Bottleneck"/>
  </r>
  <r>
    <s v="P379"/>
    <s v="Rare Earth Metals"/>
    <s v="Asia"/>
    <x v="15"/>
    <n v="32"/>
    <n v="487"/>
    <n v="167.47"/>
    <n v="3"/>
    <n v="2"/>
    <n v="4"/>
    <n v="0"/>
    <s v="Bottleneck"/>
  </r>
  <r>
    <s v="P380"/>
    <s v="Rare Earth Metals"/>
    <s v="Asia"/>
    <x v="15"/>
    <n v="33"/>
    <n v="410"/>
    <n v="199.46"/>
    <n v="5"/>
    <n v="1"/>
    <n v="3"/>
    <n v="0"/>
    <s v="Bottleneck"/>
  </r>
  <r>
    <s v="P381"/>
    <s v="Specialty Gases"/>
    <s v="Europe"/>
    <x v="16"/>
    <n v="68"/>
    <n v="326"/>
    <n v="200.12"/>
    <n v="4"/>
    <n v="2"/>
    <n v="4"/>
    <n v="0"/>
    <s v="Bottleneck"/>
  </r>
  <r>
    <s v="P382"/>
    <s v="Specialty Gases"/>
    <s v="Europe"/>
    <x v="16"/>
    <n v="39"/>
    <n v="272"/>
    <n v="136.06"/>
    <n v="4"/>
    <n v="1"/>
    <n v="4"/>
    <n v="0"/>
    <s v="Bottleneck"/>
  </r>
  <r>
    <s v="P383"/>
    <s v="Rare Earth Metals"/>
    <s v="Europe"/>
    <x v="14"/>
    <n v="54"/>
    <n v="60"/>
    <n v="258.63"/>
    <n v="4"/>
    <n v="2"/>
    <n v="3"/>
    <n v="0"/>
    <s v="Bottleneck"/>
  </r>
  <r>
    <s v="P384"/>
    <s v="Catalysts"/>
    <s v="Europe"/>
    <x v="17"/>
    <n v="61"/>
    <n v="381"/>
    <n v="296.23"/>
    <n v="5"/>
    <n v="2"/>
    <n v="3"/>
    <n v="0"/>
    <s v="Bottleneck"/>
  </r>
  <r>
    <s v="P385"/>
    <s v="Specialty Gases"/>
    <s v="Asia"/>
    <x v="18"/>
    <n v="23"/>
    <n v="309"/>
    <n v="296.24"/>
    <n v="4"/>
    <n v="2"/>
    <n v="4"/>
    <n v="0"/>
    <s v="Bottleneck"/>
  </r>
  <r>
    <s v="P386"/>
    <s v="Customized Valves"/>
    <s v="Europe"/>
    <x v="19"/>
    <n v="71"/>
    <n v="467"/>
    <n v="290.58"/>
    <n v="4"/>
    <n v="2"/>
    <n v="3"/>
    <n v="0"/>
    <s v="Bottleneck"/>
  </r>
  <r>
    <s v="P387"/>
    <s v="Customized Valves"/>
    <s v="Europe"/>
    <x v="19"/>
    <n v="80"/>
    <n v="137"/>
    <n v="132.54"/>
    <n v="3"/>
    <n v="1"/>
    <n v="4"/>
    <n v="0"/>
    <s v="Bottleneck"/>
  </r>
  <r>
    <s v="P388"/>
    <s v="Catalysts"/>
    <s v="Europe"/>
    <x v="17"/>
    <n v="61"/>
    <n v="475"/>
    <n v="285.24"/>
    <n v="4"/>
    <n v="2"/>
    <n v="3"/>
    <n v="0"/>
    <s v="Bottleneck"/>
  </r>
  <r>
    <s v="P389"/>
    <s v="Catalysts"/>
    <s v="Europe"/>
    <x v="17"/>
    <n v="16"/>
    <n v="204"/>
    <n v="150.76"/>
    <n v="4"/>
    <n v="1"/>
    <n v="3"/>
    <n v="0"/>
    <s v="Bottleneck"/>
  </r>
  <r>
    <s v="P390"/>
    <s v="Catalysts"/>
    <s v="Europe"/>
    <x v="17"/>
    <n v="77"/>
    <n v="204"/>
    <n v="179.57"/>
    <n v="3"/>
    <n v="1"/>
    <n v="4"/>
    <n v="0"/>
    <s v="Bottleneck"/>
  </r>
  <r>
    <s v="P391"/>
    <s v="Rare Earth Metals"/>
    <s v="Asia"/>
    <x v="15"/>
    <n v="84"/>
    <n v="143"/>
    <n v="118.14"/>
    <n v="5"/>
    <n v="2"/>
    <n v="3"/>
    <n v="0"/>
    <s v="Bottleneck"/>
  </r>
  <r>
    <s v="P392"/>
    <s v="Rare Earth Metals"/>
    <s v="Asia"/>
    <x v="15"/>
    <n v="64"/>
    <n v="230"/>
    <n v="150.19999999999999"/>
    <n v="5"/>
    <n v="1"/>
    <n v="3"/>
    <n v="0"/>
    <s v="Bottleneck"/>
  </r>
  <r>
    <s v="P393"/>
    <s v="Specialty Gases"/>
    <s v="Asia"/>
    <x v="18"/>
    <n v="71"/>
    <n v="315"/>
    <n v="120.36"/>
    <n v="3"/>
    <n v="2"/>
    <n v="3"/>
    <n v="0"/>
    <s v="Bottleneck"/>
  </r>
  <r>
    <s v="P394"/>
    <s v="Rare Earth Metals"/>
    <s v="Europe"/>
    <x v="14"/>
    <n v="27"/>
    <n v="474"/>
    <n v="235.91"/>
    <n v="5"/>
    <n v="3"/>
    <n v="3"/>
    <n v="0"/>
    <s v="Bottleneck"/>
  </r>
  <r>
    <s v="P395"/>
    <s v="Customized Valves"/>
    <s v="Asia"/>
    <x v="13"/>
    <n v="46"/>
    <n v="158"/>
    <n v="267.93"/>
    <n v="5"/>
    <n v="2"/>
    <n v="4"/>
    <n v="0"/>
    <s v="Bottleneck"/>
  </r>
  <r>
    <s v="P396"/>
    <s v="Rare Earth Metals"/>
    <s v="Europe"/>
    <x v="14"/>
    <n v="14"/>
    <n v="411"/>
    <n v="256.07"/>
    <n v="3"/>
    <n v="1"/>
    <n v="4"/>
    <n v="0"/>
    <s v="Bottleneck"/>
  </r>
  <r>
    <s v="P397"/>
    <s v="Rare Earth Metals"/>
    <s v="Asia"/>
    <x v="15"/>
    <n v="43"/>
    <n v="95"/>
    <n v="218.76"/>
    <n v="5"/>
    <n v="2"/>
    <n v="4"/>
    <n v="0"/>
    <s v="Bottleneck"/>
  </r>
  <r>
    <s v="P398"/>
    <s v="Rare Earth Metals"/>
    <s v="Europe"/>
    <x v="14"/>
    <n v="10"/>
    <n v="89"/>
    <n v="262.18"/>
    <n v="3"/>
    <n v="1"/>
    <n v="3"/>
    <n v="0"/>
    <s v="Bottleneck"/>
  </r>
  <r>
    <s v="P399"/>
    <s v="Customized Valves"/>
    <s v="Asia"/>
    <x v="13"/>
    <n v="59"/>
    <n v="230"/>
    <n v="192.66"/>
    <n v="4"/>
    <n v="2"/>
    <n v="4"/>
    <n v="0"/>
    <s v="Bottleneck"/>
  </r>
  <r>
    <s v="P400"/>
    <s v="Specialty Gases"/>
    <s v="Asia"/>
    <x v="18"/>
    <n v="44"/>
    <n v="237"/>
    <n v="218.09"/>
    <n v="4"/>
    <n v="2"/>
    <n v="4"/>
    <n v="0"/>
    <s v="Bottleneck"/>
  </r>
  <r>
    <s v="P401"/>
    <s v="Rare Earth Metals"/>
    <s v="Europe"/>
    <x v="14"/>
    <n v="42"/>
    <n v="228"/>
    <n v="146.08000000000001"/>
    <n v="4"/>
    <n v="3"/>
    <n v="4"/>
    <n v="0"/>
    <s v="Bottleneck"/>
  </r>
  <r>
    <s v="P402"/>
    <s v="Customized Valves"/>
    <s v="Asia"/>
    <x v="13"/>
    <n v="57"/>
    <n v="363"/>
    <n v="251.81"/>
    <n v="3"/>
    <n v="2"/>
    <n v="4"/>
    <n v="0"/>
    <s v="Bottleneck"/>
  </r>
  <r>
    <s v="P403"/>
    <s v="Specialty Gases"/>
    <s v="Europe"/>
    <x v="16"/>
    <n v="60"/>
    <n v="96"/>
    <n v="167.39"/>
    <n v="4"/>
    <n v="1"/>
    <n v="4"/>
    <n v="0"/>
    <s v="Bottleneck"/>
  </r>
  <r>
    <s v="P404"/>
    <s v="Rare Earth Metals"/>
    <s v="Asia"/>
    <x v="15"/>
    <n v="15"/>
    <n v="336"/>
    <n v="176.14"/>
    <n v="5"/>
    <n v="2"/>
    <n v="4"/>
    <n v="0"/>
    <s v="Bottleneck"/>
  </r>
  <r>
    <s v="P405"/>
    <s v="Rare Earth Metals"/>
    <s v="Asia"/>
    <x v="15"/>
    <n v="27"/>
    <n v="322"/>
    <n v="108.48"/>
    <n v="3"/>
    <n v="3"/>
    <n v="4"/>
    <n v="0"/>
    <s v="Bottleneck"/>
  </r>
  <r>
    <s v="P406"/>
    <s v="Rare Earth Metals"/>
    <s v="Asia"/>
    <x v="15"/>
    <n v="21"/>
    <n v="266"/>
    <n v="202.77"/>
    <n v="5"/>
    <n v="1"/>
    <n v="3"/>
    <n v="0"/>
    <s v="Bottleneck"/>
  </r>
  <r>
    <s v="P407"/>
    <s v="Catalysts"/>
    <s v="Europe"/>
    <x v="17"/>
    <n v="40"/>
    <n v="456"/>
    <n v="260.7"/>
    <n v="3"/>
    <n v="1"/>
    <n v="4"/>
    <n v="0"/>
    <s v="Bottleneck"/>
  </r>
  <r>
    <s v="P408"/>
    <s v="Customized Valves"/>
    <s v="Asia"/>
    <x v="13"/>
    <n v="69"/>
    <n v="119"/>
    <n v="128.43"/>
    <n v="5"/>
    <n v="1"/>
    <n v="4"/>
    <n v="0"/>
    <s v="Bottleneck"/>
  </r>
  <r>
    <s v="P409"/>
    <s v="Rare Earth Metals"/>
    <s v="Asia"/>
    <x v="15"/>
    <n v="38"/>
    <n v="232"/>
    <n v="212.41"/>
    <n v="5"/>
    <n v="3"/>
    <n v="4"/>
    <n v="0"/>
    <s v="Bottleneck"/>
  </r>
  <r>
    <s v="P410"/>
    <s v="Catalysts"/>
    <s v="Europe"/>
    <x v="17"/>
    <n v="39"/>
    <n v="388"/>
    <n v="176.87"/>
    <n v="5"/>
    <n v="2"/>
    <n v="3"/>
    <n v="0"/>
    <s v="Bottleneck"/>
  </r>
  <r>
    <s v="P411"/>
    <s v="Specialty Gases"/>
    <s v="Europe"/>
    <x v="16"/>
    <n v="55"/>
    <n v="265"/>
    <n v="119.5"/>
    <n v="4"/>
    <n v="1"/>
    <n v="3"/>
    <n v="0"/>
    <s v="Bottleneck"/>
  </r>
  <r>
    <s v="P412"/>
    <s v="Catalysts"/>
    <s v="Asia"/>
    <x v="20"/>
    <n v="25"/>
    <n v="332"/>
    <n v="200.96"/>
    <n v="4"/>
    <n v="2"/>
    <n v="4"/>
    <n v="0"/>
    <s v="Bottleneck"/>
  </r>
  <r>
    <s v="P413"/>
    <s v="Catalysts"/>
    <s v="Europe"/>
    <x v="17"/>
    <n v="28"/>
    <n v="138"/>
    <n v="275.87"/>
    <n v="5"/>
    <n v="1"/>
    <n v="4"/>
    <n v="0"/>
    <s v="Bottleneck"/>
  </r>
  <r>
    <s v="P414"/>
    <s v="Customized Valves"/>
    <s v="Europe"/>
    <x v="19"/>
    <n v="57"/>
    <n v="255"/>
    <n v="114.18"/>
    <n v="5"/>
    <n v="2"/>
    <n v="4"/>
    <n v="0"/>
    <s v="Bottleneck"/>
  </r>
  <r>
    <s v="P415"/>
    <s v="Specialty Gases"/>
    <s v="Asia"/>
    <x v="18"/>
    <n v="18"/>
    <n v="162"/>
    <n v="132.56"/>
    <n v="4"/>
    <n v="3"/>
    <n v="4"/>
    <n v="0"/>
    <s v="Bottleneck"/>
  </r>
  <r>
    <s v="P416"/>
    <s v="Rare Earth Metals"/>
    <s v="Europe"/>
    <x v="14"/>
    <n v="68"/>
    <n v="461"/>
    <n v="186.11"/>
    <n v="5"/>
    <n v="1"/>
    <n v="4"/>
    <n v="0"/>
    <s v="Bottleneck"/>
  </r>
  <r>
    <s v="P417"/>
    <s v="Specialty Gases"/>
    <s v="Asia"/>
    <x v="18"/>
    <n v="19"/>
    <n v="246"/>
    <n v="237.09"/>
    <n v="5"/>
    <n v="1"/>
    <n v="3"/>
    <n v="0"/>
    <s v="Bottleneck"/>
  </r>
  <r>
    <s v="P418"/>
    <s v="Catalysts"/>
    <s v="Europe"/>
    <x v="17"/>
    <n v="30"/>
    <n v="63"/>
    <n v="226.46"/>
    <n v="4"/>
    <n v="1"/>
    <n v="3"/>
    <n v="0"/>
    <s v="Bottleneck"/>
  </r>
  <r>
    <s v="P419"/>
    <s v="Specialty Gases"/>
    <s v="Europe"/>
    <x v="16"/>
    <n v="12"/>
    <n v="441"/>
    <n v="282.95"/>
    <n v="3"/>
    <n v="2"/>
    <n v="4"/>
    <n v="0"/>
    <s v="Bottleneck"/>
  </r>
  <r>
    <s v="P420"/>
    <s v="Specialty Gases"/>
    <s v="Asia"/>
    <x v="18"/>
    <n v="82"/>
    <n v="131"/>
    <n v="180.72"/>
    <n v="5"/>
    <n v="1"/>
    <n v="4"/>
    <n v="0"/>
    <s v="Bottleneck"/>
  </r>
  <r>
    <s v="P421"/>
    <s v="Customized Valves"/>
    <s v="Europe"/>
    <x v="19"/>
    <n v="28"/>
    <n v="394"/>
    <n v="141.07"/>
    <n v="4"/>
    <n v="1"/>
    <n v="3"/>
    <n v="0"/>
    <s v="Bottleneck"/>
  </r>
  <r>
    <s v="P422"/>
    <s v="Specialty Gases"/>
    <s v="Asia"/>
    <x v="18"/>
    <n v="26"/>
    <n v="206"/>
    <n v="115.4"/>
    <n v="3"/>
    <n v="1"/>
    <n v="3"/>
    <n v="0"/>
    <s v="Bottleneck"/>
  </r>
  <r>
    <s v="P423"/>
    <s v="Catalysts"/>
    <s v="Europe"/>
    <x v="17"/>
    <n v="85"/>
    <n v="371"/>
    <n v="118.42"/>
    <n v="5"/>
    <n v="2"/>
    <n v="4"/>
    <n v="0"/>
    <s v="Bottleneck"/>
  </r>
  <r>
    <s v="P424"/>
    <s v="Customized Valves"/>
    <s v="Europe"/>
    <x v="19"/>
    <n v="35"/>
    <n v="97"/>
    <n v="241.33"/>
    <n v="5"/>
    <n v="1"/>
    <n v="4"/>
    <n v="0"/>
    <s v="Bottleneck"/>
  </r>
  <r>
    <s v="P425"/>
    <s v="Catalysts"/>
    <s v="Europe"/>
    <x v="17"/>
    <n v="28"/>
    <n v="315"/>
    <n v="121.18"/>
    <n v="5"/>
    <n v="1"/>
    <n v="3"/>
    <n v="0"/>
    <s v="Bottleneck"/>
  </r>
  <r>
    <s v="P426"/>
    <s v="Catalysts"/>
    <s v="Europe"/>
    <x v="17"/>
    <n v="15"/>
    <n v="333"/>
    <n v="236.02"/>
    <n v="5"/>
    <n v="1"/>
    <n v="3"/>
    <n v="0"/>
    <s v="Bottleneck"/>
  </r>
  <r>
    <s v="P427"/>
    <s v="Catalysts"/>
    <s v="Europe"/>
    <x v="17"/>
    <n v="23"/>
    <n v="122"/>
    <n v="144.1"/>
    <n v="4"/>
    <n v="1"/>
    <n v="3"/>
    <n v="0"/>
    <s v="Bottleneck"/>
  </r>
  <r>
    <s v="P428"/>
    <s v="Specialty Gases"/>
    <s v="Asia"/>
    <x v="18"/>
    <n v="21"/>
    <n v="468"/>
    <n v="186.72"/>
    <n v="4"/>
    <n v="2"/>
    <n v="4"/>
    <n v="0"/>
    <s v="Bottleneck"/>
  </r>
  <r>
    <s v="P429"/>
    <s v="Catalysts"/>
    <s v="Asia"/>
    <x v="20"/>
    <n v="47"/>
    <n v="459"/>
    <n v="244.69"/>
    <n v="5"/>
    <n v="1"/>
    <n v="3"/>
    <n v="0"/>
    <s v="Bottleneck"/>
  </r>
  <r>
    <s v="P430"/>
    <s v="Specialty Gases"/>
    <s v="Asia"/>
    <x v="18"/>
    <n v="75"/>
    <n v="88"/>
    <n v="140.80000000000001"/>
    <n v="5"/>
    <n v="3"/>
    <n v="3"/>
    <n v="0"/>
    <s v="Bottleneck"/>
  </r>
  <r>
    <s v="P431"/>
    <s v="Customized Valves"/>
    <s v="Europe"/>
    <x v="19"/>
    <n v="22"/>
    <n v="110"/>
    <n v="112.51"/>
    <n v="4"/>
    <n v="3"/>
    <n v="4"/>
    <n v="0"/>
    <s v="Bottleneck"/>
  </r>
  <r>
    <s v="P432"/>
    <s v="Specialty Gases"/>
    <s v="Europe"/>
    <x v="16"/>
    <n v="83"/>
    <n v="387"/>
    <n v="166.61"/>
    <n v="5"/>
    <n v="3"/>
    <n v="4"/>
    <n v="0"/>
    <s v="Bottleneck"/>
  </r>
  <r>
    <s v="P433"/>
    <s v="Catalysts"/>
    <s v="Europe"/>
    <x v="17"/>
    <n v="87"/>
    <n v="370"/>
    <n v="223.36"/>
    <n v="5"/>
    <n v="1"/>
    <n v="3"/>
    <n v="0"/>
    <s v="Bottleneck"/>
  </r>
  <r>
    <s v="P434"/>
    <s v="Rare Earth Metals"/>
    <s v="Asia"/>
    <x v="15"/>
    <n v="15"/>
    <n v="344"/>
    <n v="259.94"/>
    <n v="4"/>
    <n v="1"/>
    <n v="3"/>
    <n v="0"/>
    <s v="Bottleneck"/>
  </r>
  <r>
    <s v="P435"/>
    <s v="Specialty Gases"/>
    <s v="Europe"/>
    <x v="16"/>
    <n v="46"/>
    <n v="494"/>
    <n v="190.87"/>
    <n v="5"/>
    <n v="1"/>
    <n v="4"/>
    <n v="0"/>
    <s v="Bottleneck"/>
  </r>
  <r>
    <s v="P436"/>
    <s v="Catalysts"/>
    <s v="Asia"/>
    <x v="20"/>
    <n v="64"/>
    <n v="384"/>
    <n v="128.88"/>
    <n v="5"/>
    <n v="3"/>
    <n v="4"/>
    <n v="0"/>
    <s v="Bottleneck"/>
  </r>
  <r>
    <s v="P437"/>
    <s v="Rare Earth Metals"/>
    <s v="Europe"/>
    <x v="14"/>
    <n v="61"/>
    <n v="184"/>
    <n v="218.05"/>
    <n v="5"/>
    <n v="1"/>
    <n v="3"/>
    <n v="0"/>
    <s v="Bottleneck"/>
  </r>
  <r>
    <s v="P438"/>
    <s v="Customized Valves"/>
    <s v="Europe"/>
    <x v="19"/>
    <n v="80"/>
    <n v="434"/>
    <n v="231.03"/>
    <n v="4"/>
    <n v="1"/>
    <n v="4"/>
    <n v="0"/>
    <s v="Bottleneck"/>
  </r>
  <r>
    <s v="P439"/>
    <s v="Catalysts"/>
    <s v="Asia"/>
    <x v="20"/>
    <n v="74"/>
    <n v="158"/>
    <n v="276.33999999999997"/>
    <n v="3"/>
    <n v="1"/>
    <n v="3"/>
    <n v="0"/>
    <s v="Bottleneck"/>
  </r>
  <r>
    <s v="P440"/>
    <s v="Catalysts"/>
    <s v="Asia"/>
    <x v="20"/>
    <n v="61"/>
    <n v="72"/>
    <n v="203"/>
    <n v="5"/>
    <n v="1"/>
    <n v="3"/>
    <n v="0"/>
    <s v="Bottleneck"/>
  </r>
  <r>
    <s v="P441"/>
    <s v="Specialty Gases"/>
    <s v="Europe"/>
    <x v="16"/>
    <n v="86"/>
    <n v="85"/>
    <n v="290.56"/>
    <n v="5"/>
    <n v="2"/>
    <n v="4"/>
    <n v="0"/>
    <s v="Bottleneck"/>
  </r>
  <r>
    <s v="P442"/>
    <s v="Rare Earth Metals"/>
    <s v="Asia"/>
    <x v="15"/>
    <n v="11"/>
    <n v="55"/>
    <n v="280.70999999999998"/>
    <n v="4"/>
    <n v="1"/>
    <n v="3"/>
    <n v="0"/>
    <s v="Bottleneck"/>
  </r>
  <r>
    <s v="P443"/>
    <s v="Specialty Gases"/>
    <s v="Asia"/>
    <x v="18"/>
    <n v="43"/>
    <n v="463"/>
    <n v="168.96"/>
    <n v="3"/>
    <n v="2"/>
    <n v="3"/>
    <n v="0"/>
    <s v="Bottleneck"/>
  </r>
  <r>
    <s v="P444"/>
    <s v="Customized Valves"/>
    <s v="Asia"/>
    <x v="13"/>
    <n v="12"/>
    <n v="161"/>
    <n v="238.79"/>
    <n v="3"/>
    <n v="2"/>
    <n v="3"/>
    <n v="0"/>
    <s v="Bottleneck"/>
  </r>
  <r>
    <s v="P445"/>
    <s v="Catalysts"/>
    <s v="Asia"/>
    <x v="20"/>
    <n v="84"/>
    <n v="338"/>
    <n v="132.27000000000001"/>
    <n v="5"/>
    <n v="3"/>
    <n v="4"/>
    <n v="0"/>
    <s v="Bottleneck"/>
  </r>
  <r>
    <s v="P446"/>
    <s v="Specialty Gases"/>
    <s v="Europe"/>
    <x v="16"/>
    <n v="45"/>
    <n v="469"/>
    <n v="121.07"/>
    <n v="5"/>
    <n v="1"/>
    <n v="4"/>
    <n v="0"/>
    <s v="Bottleneck"/>
  </r>
  <r>
    <s v="P447"/>
    <s v="Customized Valves"/>
    <s v="Europe"/>
    <x v="19"/>
    <n v="15"/>
    <n v="167"/>
    <n v="153.52000000000001"/>
    <n v="5"/>
    <n v="1"/>
    <n v="3"/>
    <n v="0"/>
    <s v="Bottleneck"/>
  </r>
  <r>
    <s v="P448"/>
    <s v="Customized Valves"/>
    <s v="Europe"/>
    <x v="19"/>
    <n v="56"/>
    <n v="244"/>
    <n v="274.29000000000002"/>
    <n v="3"/>
    <n v="1"/>
    <n v="4"/>
    <n v="0"/>
    <s v="Bottleneck"/>
  </r>
  <r>
    <s v="P449"/>
    <s v="Specialty Gases"/>
    <s v="Asia"/>
    <x v="18"/>
    <n v="70"/>
    <n v="467"/>
    <n v="274.11"/>
    <n v="3"/>
    <n v="1"/>
    <n v="3"/>
    <n v="0"/>
    <s v="Bottleneck"/>
  </r>
  <r>
    <s v="P450"/>
    <s v="Rare Earth Metals"/>
    <s v="Asia"/>
    <x v="15"/>
    <n v="73"/>
    <n v="331"/>
    <n v="128.57"/>
    <n v="4"/>
    <n v="1"/>
    <n v="3"/>
    <n v="0"/>
    <s v="Bottleneck"/>
  </r>
  <r>
    <s v="P451"/>
    <s v="Customized Valves"/>
    <s v="Asia"/>
    <x v="13"/>
    <n v="9"/>
    <n v="242"/>
    <n v="290.29000000000002"/>
    <n v="4"/>
    <n v="2"/>
    <n v="3"/>
    <n v="0"/>
    <s v="Bottleneck"/>
  </r>
  <r>
    <s v="P452"/>
    <s v="Customized Valves"/>
    <s v="Europe"/>
    <x v="19"/>
    <n v="86"/>
    <n v="331"/>
    <n v="144.38"/>
    <n v="3"/>
    <n v="1"/>
    <n v="4"/>
    <n v="0"/>
    <s v="Bottleneck"/>
  </r>
  <r>
    <s v="P453"/>
    <s v="Rare Earth Metals"/>
    <s v="Asia"/>
    <x v="15"/>
    <n v="47"/>
    <n v="282"/>
    <n v="166.73"/>
    <n v="5"/>
    <n v="2"/>
    <n v="3"/>
    <n v="0"/>
    <s v="Bottleneck"/>
  </r>
  <r>
    <s v="P454"/>
    <s v="Rare Earth Metals"/>
    <s v="Europe"/>
    <x v="14"/>
    <n v="14"/>
    <n v="479"/>
    <n v="102.67"/>
    <n v="5"/>
    <n v="1"/>
    <n v="4"/>
    <n v="0"/>
    <s v="Bottleneck"/>
  </r>
  <r>
    <s v="P455"/>
    <s v="Specialty Gases"/>
    <s v="Europe"/>
    <x v="16"/>
    <n v="51"/>
    <n v="409"/>
    <n v="136.34"/>
    <n v="4"/>
    <n v="1"/>
    <n v="4"/>
    <n v="0"/>
    <s v="Bottleneck"/>
  </r>
  <r>
    <s v="P456"/>
    <s v="Specialty Gases"/>
    <s v="Asia"/>
    <x v="18"/>
    <n v="73"/>
    <n v="384"/>
    <n v="260.76"/>
    <n v="5"/>
    <n v="1"/>
    <n v="4"/>
    <n v="0"/>
    <s v="Bottleneck"/>
  </r>
  <r>
    <s v="P457"/>
    <s v="Customized Valves"/>
    <s v="Europe"/>
    <x v="19"/>
    <n v="36"/>
    <n v="89"/>
    <n v="245.85"/>
    <n v="5"/>
    <n v="3"/>
    <n v="3"/>
    <n v="0"/>
    <s v="Bottleneck"/>
  </r>
  <r>
    <s v="P458"/>
    <s v="Customized Valves"/>
    <s v="Europe"/>
    <x v="19"/>
    <n v="54"/>
    <n v="442"/>
    <n v="268.47000000000003"/>
    <n v="4"/>
    <n v="3"/>
    <n v="4"/>
    <n v="0"/>
    <s v="Bottleneck"/>
  </r>
  <r>
    <s v="P459"/>
    <s v="Rare Earth Metals"/>
    <s v="Europe"/>
    <x v="14"/>
    <n v="87"/>
    <n v="363"/>
    <n v="185.21"/>
    <n v="5"/>
    <n v="2"/>
    <n v="3"/>
    <n v="0"/>
    <s v="Bottleneck"/>
  </r>
  <r>
    <s v="P460"/>
    <s v="Customized Valves"/>
    <s v="Asia"/>
    <x v="13"/>
    <n v="35"/>
    <n v="78"/>
    <n v="224.09"/>
    <n v="5"/>
    <n v="1"/>
    <n v="3"/>
    <n v="0"/>
    <s v="Bottleneck"/>
  </r>
  <r>
    <s v="P461"/>
    <s v="Specialty Gases"/>
    <s v="Europe"/>
    <x v="16"/>
    <n v="68"/>
    <n v="436"/>
    <n v="251.74"/>
    <n v="4"/>
    <n v="1"/>
    <n v="3"/>
    <n v="0"/>
    <s v="Bottleneck"/>
  </r>
  <r>
    <s v="P462"/>
    <s v="Specialty Gases"/>
    <s v="Europe"/>
    <x v="16"/>
    <n v="46"/>
    <n v="316"/>
    <n v="182.99"/>
    <n v="5"/>
    <n v="1"/>
    <n v="4"/>
    <n v="0"/>
    <s v="Bottleneck"/>
  </r>
  <r>
    <s v="P463"/>
    <s v="Rare Earth Metals"/>
    <s v="Asia"/>
    <x v="15"/>
    <n v="8"/>
    <n v="253"/>
    <n v="184.97"/>
    <n v="3"/>
    <n v="2"/>
    <n v="4"/>
    <n v="0"/>
    <s v="Bottleneck"/>
  </r>
  <r>
    <s v="P464"/>
    <s v="Specialty Gases"/>
    <s v="Europe"/>
    <x v="16"/>
    <n v="73"/>
    <n v="195"/>
    <n v="264.37"/>
    <n v="5"/>
    <n v="1"/>
    <n v="4"/>
    <n v="0"/>
    <s v="Bottleneck"/>
  </r>
  <r>
    <s v="P465"/>
    <s v="Specialty Gases"/>
    <s v="Europe"/>
    <x v="16"/>
    <n v="33"/>
    <n v="222"/>
    <n v="145.01"/>
    <n v="4"/>
    <n v="1"/>
    <n v="4"/>
    <n v="0"/>
    <s v="Bottleneck"/>
  </r>
  <r>
    <s v="P466"/>
    <s v="Catalysts"/>
    <s v="Europe"/>
    <x v="17"/>
    <n v="76"/>
    <n v="486"/>
    <n v="112.63"/>
    <n v="5"/>
    <n v="3"/>
    <n v="3"/>
    <n v="0"/>
    <s v="Bottleneck"/>
  </r>
  <r>
    <s v="P467"/>
    <s v="Catalysts"/>
    <s v="Asia"/>
    <x v="20"/>
    <n v="28"/>
    <n v="253"/>
    <n v="239.79"/>
    <n v="4"/>
    <n v="3"/>
    <n v="3"/>
    <n v="0"/>
    <s v="Bottleneck"/>
  </r>
  <r>
    <s v="P468"/>
    <s v="Specialty Gases"/>
    <s v="Europe"/>
    <x v="16"/>
    <n v="62"/>
    <n v="128"/>
    <n v="277.69"/>
    <n v="4"/>
    <n v="1"/>
    <n v="3"/>
    <n v="0"/>
    <s v="Bottleneck"/>
  </r>
  <r>
    <s v="P469"/>
    <s v="Specialty Gases"/>
    <s v="Europe"/>
    <x v="16"/>
    <n v="14"/>
    <n v="462"/>
    <n v="165.06"/>
    <n v="4"/>
    <n v="2"/>
    <n v="3"/>
    <n v="0"/>
    <s v="Bottleneck"/>
  </r>
  <r>
    <s v="P470"/>
    <s v="Customized Valves"/>
    <s v="Europe"/>
    <x v="19"/>
    <n v="37"/>
    <n v="87"/>
    <n v="241.37"/>
    <n v="5"/>
    <n v="1"/>
    <n v="4"/>
    <n v="0"/>
    <s v="Bottleneck"/>
  </r>
  <r>
    <s v="P471"/>
    <s v="Customized Valves"/>
    <s v="Asia"/>
    <x v="13"/>
    <n v="41"/>
    <n v="414"/>
    <n v="271.60000000000002"/>
    <n v="4"/>
    <n v="1"/>
    <n v="3"/>
    <n v="0"/>
    <s v="Bottleneck"/>
  </r>
  <r>
    <s v="P472"/>
    <s v="Catalysts"/>
    <s v="Europe"/>
    <x v="17"/>
    <n v="44"/>
    <n v="487"/>
    <n v="269.83999999999997"/>
    <n v="3"/>
    <n v="2"/>
    <n v="3"/>
    <n v="0"/>
    <s v="Bottleneck"/>
  </r>
  <r>
    <s v="P473"/>
    <s v="Customized Valves"/>
    <s v="Europe"/>
    <x v="19"/>
    <n v="9"/>
    <n v="405"/>
    <n v="224.75"/>
    <n v="5"/>
    <n v="2"/>
    <n v="4"/>
    <n v="0"/>
    <s v="Bottleneck"/>
  </r>
  <r>
    <s v="P474"/>
    <s v="Catalysts"/>
    <s v="Asia"/>
    <x v="20"/>
    <n v="49"/>
    <n v="388"/>
    <n v="180.47"/>
    <n v="5"/>
    <n v="2"/>
    <n v="3"/>
    <n v="0"/>
    <s v="Bottleneck"/>
  </r>
  <r>
    <s v="P475"/>
    <s v="Specialty Gases"/>
    <s v="Europe"/>
    <x v="16"/>
    <n v="61"/>
    <n v="325"/>
    <n v="177.85"/>
    <n v="5"/>
    <n v="1"/>
    <n v="4"/>
    <n v="0"/>
    <s v="Bottleneck"/>
  </r>
  <r>
    <s v="P476"/>
    <s v="Catalysts"/>
    <s v="Europe"/>
    <x v="17"/>
    <n v="48"/>
    <n v="100"/>
    <n v="142.33000000000001"/>
    <n v="4"/>
    <n v="1"/>
    <n v="3"/>
    <n v="0"/>
    <s v="Bottleneck"/>
  </r>
  <r>
    <s v="P477"/>
    <s v="Catalysts"/>
    <s v="Asia"/>
    <x v="20"/>
    <n v="88"/>
    <n v="337"/>
    <n v="200.8"/>
    <n v="5"/>
    <n v="1"/>
    <n v="3"/>
    <n v="0"/>
    <s v="Bottleneck"/>
  </r>
  <r>
    <s v="P478"/>
    <s v="Catalysts"/>
    <s v="Asia"/>
    <x v="20"/>
    <n v="60"/>
    <n v="182"/>
    <n v="133.47"/>
    <n v="3"/>
    <n v="1"/>
    <n v="3"/>
    <n v="0"/>
    <s v="Bottleneck"/>
  </r>
  <r>
    <s v="P479"/>
    <s v="Specialty Gases"/>
    <s v="Europe"/>
    <x v="16"/>
    <n v="53"/>
    <n v="376"/>
    <n v="249.56"/>
    <n v="5"/>
    <n v="1"/>
    <n v="4"/>
    <n v="0"/>
    <s v="Bottleneck"/>
  </r>
  <r>
    <s v="P480"/>
    <s v="Rare Earth Metals"/>
    <s v="Asia"/>
    <x v="15"/>
    <n v="85"/>
    <n v="453"/>
    <n v="133.94999999999999"/>
    <n v="5"/>
    <n v="3"/>
    <n v="4"/>
    <n v="0"/>
    <s v="Bottleneck"/>
  </r>
  <r>
    <s v="P481"/>
    <s v="Catalysts"/>
    <s v="Europe"/>
    <x v="17"/>
    <n v="83"/>
    <n v="215"/>
    <n v="237.14"/>
    <n v="5"/>
    <n v="1"/>
    <n v="3"/>
    <n v="0"/>
    <s v="Bottleneck"/>
  </r>
  <r>
    <s v="P482"/>
    <s v="Specialty Gases"/>
    <s v="Europe"/>
    <x v="16"/>
    <n v="26"/>
    <n v="341"/>
    <n v="155.4"/>
    <n v="5"/>
    <n v="1"/>
    <n v="4"/>
    <n v="0"/>
    <s v="Bottleneck"/>
  </r>
  <r>
    <s v="P483"/>
    <s v="Catalysts"/>
    <s v="Asia"/>
    <x v="20"/>
    <n v="13"/>
    <n v="258"/>
    <n v="146.16"/>
    <n v="4"/>
    <n v="2"/>
    <n v="4"/>
    <n v="0"/>
    <s v="Bottleneck"/>
  </r>
  <r>
    <s v="P484"/>
    <s v="Catalysts"/>
    <s v="Europe"/>
    <x v="17"/>
    <n v="41"/>
    <n v="481"/>
    <n v="277.22000000000003"/>
    <n v="5"/>
    <n v="1"/>
    <n v="3"/>
    <n v="0"/>
    <s v="Bottleneck"/>
  </r>
  <r>
    <s v="P485"/>
    <s v="Customized Valves"/>
    <s v="Europe"/>
    <x v="19"/>
    <n v="26"/>
    <n v="288"/>
    <n v="279.47000000000003"/>
    <n v="5"/>
    <n v="2"/>
    <n v="3"/>
    <n v="0"/>
    <s v="Bottleneck"/>
  </r>
  <r>
    <s v="P486"/>
    <s v="Catalysts"/>
    <s v="Europe"/>
    <x v="17"/>
    <n v="17"/>
    <n v="482"/>
    <n v="295.07"/>
    <n v="3"/>
    <n v="2"/>
    <n v="3"/>
    <n v="0"/>
    <s v="Bottleneck"/>
  </r>
  <r>
    <s v="P487"/>
    <s v="Specialty Gases"/>
    <s v="Europe"/>
    <x v="16"/>
    <n v="9"/>
    <n v="339"/>
    <n v="142.16"/>
    <n v="5"/>
    <n v="2"/>
    <n v="3"/>
    <n v="0"/>
    <s v="Bottleneck"/>
  </r>
  <r>
    <s v="P488"/>
    <s v="Rare Earth Metals"/>
    <s v="Europe"/>
    <x v="14"/>
    <n v="70"/>
    <n v="345"/>
    <n v="293.55"/>
    <n v="5"/>
    <n v="1"/>
    <n v="4"/>
    <n v="0"/>
    <s v="Bottleneck"/>
  </r>
  <r>
    <s v="P489"/>
    <s v="Catalysts"/>
    <s v="Europe"/>
    <x v="17"/>
    <n v="42"/>
    <n v="187"/>
    <n v="104.1"/>
    <n v="3"/>
    <n v="1"/>
    <n v="3"/>
    <n v="0"/>
    <s v="Bottleneck"/>
  </r>
  <r>
    <s v="P490"/>
    <s v="Rare Earth Metals"/>
    <s v="Europe"/>
    <x v="14"/>
    <n v="28"/>
    <n v="387"/>
    <n v="279.64999999999998"/>
    <n v="5"/>
    <n v="3"/>
    <n v="4"/>
    <n v="0"/>
    <s v="Bottleneck"/>
  </r>
  <r>
    <s v="P491"/>
    <s v="Specialty Gases"/>
    <s v="Europe"/>
    <x v="16"/>
    <n v="46"/>
    <n v="351"/>
    <n v="241.34"/>
    <n v="4"/>
    <n v="1"/>
    <n v="4"/>
    <n v="0"/>
    <s v="Bottleneck"/>
  </r>
  <r>
    <s v="P492"/>
    <s v="Catalysts"/>
    <s v="Asia"/>
    <x v="20"/>
    <n v="63"/>
    <n v="161"/>
    <n v="224.8"/>
    <n v="4"/>
    <n v="3"/>
    <n v="4"/>
    <n v="0"/>
    <s v="Bottleneck"/>
  </r>
  <r>
    <s v="P493"/>
    <s v="Customized Valves"/>
    <s v="Europe"/>
    <x v="19"/>
    <n v="82"/>
    <n v="314"/>
    <n v="183.72"/>
    <n v="5"/>
    <n v="2"/>
    <n v="4"/>
    <n v="0"/>
    <s v="Bottleneck"/>
  </r>
  <r>
    <s v="P494"/>
    <s v="Catalysts"/>
    <s v="Asia"/>
    <x v="20"/>
    <n v="88"/>
    <n v="368"/>
    <n v="139.85"/>
    <n v="3"/>
    <n v="1"/>
    <n v="3"/>
    <n v="0"/>
    <s v="Bottleneck"/>
  </r>
  <r>
    <s v="P495"/>
    <s v="Rare Earth Metals"/>
    <s v="Asia"/>
    <x v="15"/>
    <n v="54"/>
    <n v="477"/>
    <n v="198.51"/>
    <n v="4"/>
    <n v="2"/>
    <n v="4"/>
    <n v="0"/>
    <s v="Bottleneck"/>
  </r>
  <r>
    <s v="P496"/>
    <s v="Specialty Gases"/>
    <s v="Europe"/>
    <x v="16"/>
    <n v="87"/>
    <n v="236"/>
    <n v="239.71"/>
    <n v="4"/>
    <n v="1"/>
    <n v="3"/>
    <n v="0"/>
    <s v="Bottleneck"/>
  </r>
  <r>
    <s v="P497"/>
    <s v="Rare Earth Metals"/>
    <s v="Europe"/>
    <x v="14"/>
    <n v="83"/>
    <n v="237"/>
    <n v="213.55"/>
    <n v="5"/>
    <n v="1"/>
    <n v="4"/>
    <n v="0"/>
    <s v="Bottleneck"/>
  </r>
  <r>
    <s v="P498"/>
    <s v="Catalysts"/>
    <s v="Asia"/>
    <x v="20"/>
    <n v="86"/>
    <n v="169"/>
    <n v="126.33"/>
    <n v="5"/>
    <n v="1"/>
    <n v="4"/>
    <n v="0"/>
    <s v="Bottleneck"/>
  </r>
  <r>
    <s v="P499"/>
    <s v="Specialty Gases"/>
    <s v="Europe"/>
    <x v="16"/>
    <n v="16"/>
    <n v="296"/>
    <n v="215.32"/>
    <n v="5"/>
    <n v="2"/>
    <n v="4"/>
    <n v="0"/>
    <s v="Bottleneck"/>
  </r>
  <r>
    <s v="P500"/>
    <s v="Customized Valves"/>
    <s v="Asia"/>
    <x v="13"/>
    <n v="47"/>
    <n v="364"/>
    <n v="167.5"/>
    <n v="5"/>
    <n v="1"/>
    <n v="3"/>
    <n v="0"/>
    <s v="Leverage"/>
  </r>
  <r>
    <s v="P501"/>
    <s v="Standard Bolts"/>
    <s v="North America"/>
    <x v="21"/>
    <n v="48"/>
    <n v="4558"/>
    <n v="137.41"/>
    <n v="1"/>
    <n v="5"/>
    <n v="1"/>
    <n v="0"/>
    <s v="Leverage"/>
  </r>
  <r>
    <s v="P502"/>
    <s v="PVC Pipes"/>
    <s v="North America"/>
    <x v="22"/>
    <n v="23"/>
    <n v="1336"/>
    <n v="87.65"/>
    <n v="2"/>
    <n v="4"/>
    <n v="2"/>
    <n v="0"/>
    <s v="Leverage"/>
  </r>
  <r>
    <s v="P503"/>
    <s v="Packaging Material"/>
    <s v="Asia"/>
    <x v="23"/>
    <n v="65"/>
    <n v="5204"/>
    <n v="142.07"/>
    <n v="2"/>
    <n v="5"/>
    <n v="1"/>
    <n v="0"/>
    <s v="Leverage"/>
  </r>
  <r>
    <s v="P504"/>
    <s v="Steel Beams"/>
    <s v="Europe"/>
    <x v="24"/>
    <n v="23"/>
    <n v="6592"/>
    <n v="96.63"/>
    <n v="1"/>
    <n v="4"/>
    <n v="1"/>
    <n v="0"/>
    <s v="Leverage"/>
  </r>
  <r>
    <s v="P505"/>
    <s v="PVC Pipes"/>
    <s v="North America"/>
    <x v="22"/>
    <n v="27"/>
    <n v="2756"/>
    <n v="126.94"/>
    <n v="2"/>
    <n v="3"/>
    <n v="2"/>
    <n v="0"/>
    <s v="Leverage"/>
  </r>
  <r>
    <s v="P506"/>
    <s v="Packaging Material"/>
    <s v="Europe"/>
    <x v="25"/>
    <n v="58"/>
    <n v="7771"/>
    <n v="101.06"/>
    <n v="2"/>
    <n v="3"/>
    <n v="1"/>
    <n v="0"/>
    <s v="Leverage"/>
  </r>
  <r>
    <s v="P507"/>
    <s v="PVC Pipes"/>
    <s v="Asia"/>
    <x v="26"/>
    <n v="86"/>
    <n v="2717"/>
    <n v="93.82"/>
    <n v="2"/>
    <n v="4"/>
    <n v="1"/>
    <n v="0"/>
    <s v="Leverage"/>
  </r>
  <r>
    <s v="P508"/>
    <s v="Steel Beams"/>
    <s v="Asia"/>
    <x v="27"/>
    <n v="48"/>
    <n v="4308"/>
    <n v="96.57"/>
    <n v="2"/>
    <n v="3"/>
    <n v="2"/>
    <n v="0"/>
    <s v="Leverage"/>
  </r>
  <r>
    <s v="P509"/>
    <s v="PVC Pipes"/>
    <s v="North America"/>
    <x v="22"/>
    <n v="46"/>
    <n v="7416"/>
    <n v="106.85"/>
    <n v="1"/>
    <n v="3"/>
    <n v="1"/>
    <n v="0"/>
    <s v="Leverage"/>
  </r>
  <r>
    <s v="P510"/>
    <s v="Standard Bolts"/>
    <s v="Europe"/>
    <x v="28"/>
    <n v="17"/>
    <n v="9100"/>
    <n v="86.59"/>
    <n v="1"/>
    <n v="4"/>
    <n v="1"/>
    <n v="0"/>
    <s v="Leverage"/>
  </r>
  <r>
    <s v="P511"/>
    <s v="Packaging Material"/>
    <s v="North America"/>
    <x v="29"/>
    <n v="62"/>
    <n v="2874"/>
    <n v="146.15"/>
    <n v="1"/>
    <n v="5"/>
    <n v="1"/>
    <n v="0"/>
    <s v="Leverage"/>
  </r>
  <r>
    <s v="P512"/>
    <s v="PVC Pipes"/>
    <s v="Europe"/>
    <x v="30"/>
    <n v="42"/>
    <n v="8538"/>
    <n v="111.96"/>
    <n v="1"/>
    <n v="5"/>
    <n v="2"/>
    <n v="0"/>
    <s v="Leverage"/>
  </r>
  <r>
    <s v="P513"/>
    <s v="PVC Pipes"/>
    <s v="Europe"/>
    <x v="30"/>
    <n v="62"/>
    <n v="4176"/>
    <n v="117.81"/>
    <n v="2"/>
    <n v="5"/>
    <n v="2"/>
    <n v="0"/>
    <s v="Leverage"/>
  </r>
  <r>
    <s v="P514"/>
    <s v="Standard Bolts"/>
    <s v="Europe"/>
    <x v="28"/>
    <n v="15"/>
    <n v="3863"/>
    <n v="58.9"/>
    <n v="2"/>
    <n v="5"/>
    <n v="2"/>
    <n v="0"/>
    <s v="Leverage"/>
  </r>
  <r>
    <s v="P515"/>
    <s v="Standard Bolts"/>
    <s v="North America"/>
    <x v="21"/>
    <n v="73"/>
    <n v="7615"/>
    <n v="109.52"/>
    <n v="3"/>
    <n v="5"/>
    <n v="1"/>
    <n v="0"/>
    <s v="Leverage"/>
  </r>
  <r>
    <s v="P516"/>
    <s v="PVC Pipes"/>
    <s v="Europe"/>
    <x v="30"/>
    <n v="30"/>
    <n v="2096"/>
    <n v="56.01"/>
    <n v="3"/>
    <n v="5"/>
    <n v="2"/>
    <n v="0"/>
    <s v="Leverage"/>
  </r>
  <r>
    <s v="P517"/>
    <s v="Steel Beams"/>
    <s v="North America"/>
    <x v="31"/>
    <n v="40"/>
    <n v="1270"/>
    <n v="144.15"/>
    <n v="1"/>
    <n v="5"/>
    <n v="1"/>
    <n v="0"/>
    <s v="Leverage"/>
  </r>
  <r>
    <s v="P518"/>
    <s v="Standard Bolts"/>
    <s v="North America"/>
    <x v="21"/>
    <n v="72"/>
    <n v="8299"/>
    <n v="139.56"/>
    <n v="1"/>
    <n v="4"/>
    <n v="1"/>
    <n v="0"/>
    <s v="Leverage"/>
  </r>
  <r>
    <s v="P519"/>
    <s v="PVC Pipes"/>
    <s v="Europe"/>
    <x v="30"/>
    <n v="44"/>
    <n v="6552"/>
    <n v="110.38"/>
    <n v="1"/>
    <n v="4"/>
    <n v="2"/>
    <n v="0"/>
    <s v="Leverage"/>
  </r>
  <r>
    <s v="P520"/>
    <s v="Steel Beams"/>
    <s v="North America"/>
    <x v="31"/>
    <n v="11"/>
    <n v="6043"/>
    <n v="79.989999999999995"/>
    <n v="1"/>
    <n v="5"/>
    <n v="1"/>
    <n v="0"/>
    <s v="Leverage"/>
  </r>
  <r>
    <s v="P521"/>
    <s v="PVC Pipes"/>
    <s v="North America"/>
    <x v="22"/>
    <n v="29"/>
    <n v="9662"/>
    <n v="84.4"/>
    <n v="2"/>
    <n v="4"/>
    <n v="2"/>
    <n v="0"/>
    <s v="Leverage"/>
  </r>
  <r>
    <s v="P522"/>
    <s v="Packaging Material"/>
    <s v="Asia"/>
    <x v="23"/>
    <n v="70"/>
    <n v="5440"/>
    <n v="89.95"/>
    <n v="2"/>
    <n v="4"/>
    <n v="2"/>
    <n v="0"/>
    <s v="Leverage"/>
  </r>
  <r>
    <s v="P523"/>
    <s v="Steel Beams"/>
    <s v="North America"/>
    <x v="31"/>
    <n v="8"/>
    <n v="5538"/>
    <n v="57.57"/>
    <n v="1"/>
    <n v="5"/>
    <n v="1"/>
    <n v="0"/>
    <s v="Leverage"/>
  </r>
  <r>
    <s v="P524"/>
    <s v="Steel Beams"/>
    <s v="Asia"/>
    <x v="27"/>
    <n v="78"/>
    <n v="6898"/>
    <n v="111.69"/>
    <n v="2"/>
    <n v="4"/>
    <n v="2"/>
    <n v="0"/>
    <s v="Leverage"/>
  </r>
  <r>
    <s v="P525"/>
    <s v="Standard Bolts"/>
    <s v="Asia"/>
    <x v="32"/>
    <n v="62"/>
    <n v="9923"/>
    <n v="74.62"/>
    <n v="3"/>
    <n v="4"/>
    <n v="2"/>
    <n v="0"/>
    <s v="Leverage"/>
  </r>
  <r>
    <s v="P526"/>
    <s v="Standard Bolts"/>
    <s v="Europe"/>
    <x v="28"/>
    <n v="7"/>
    <n v="8000"/>
    <n v="61.57"/>
    <n v="1"/>
    <n v="5"/>
    <n v="2"/>
    <n v="0"/>
    <s v="Leverage"/>
  </r>
  <r>
    <s v="P527"/>
    <s v="Steel Beams"/>
    <s v="Europe"/>
    <x v="24"/>
    <n v="86"/>
    <n v="2449"/>
    <n v="118.88"/>
    <n v="1"/>
    <n v="5"/>
    <n v="1"/>
    <n v="0"/>
    <s v="Leverage"/>
  </r>
  <r>
    <s v="P528"/>
    <s v="Packaging Material"/>
    <s v="Europe"/>
    <x v="25"/>
    <n v="41"/>
    <n v="9848"/>
    <n v="55.18"/>
    <n v="1"/>
    <n v="4"/>
    <n v="2"/>
    <n v="0"/>
    <s v="Leverage"/>
  </r>
  <r>
    <s v="P529"/>
    <s v="PVC Pipes"/>
    <s v="Asia"/>
    <x v="26"/>
    <n v="66"/>
    <n v="4580"/>
    <n v="63.96"/>
    <n v="1"/>
    <n v="5"/>
    <n v="1"/>
    <n v="0"/>
    <s v="Leverage"/>
  </r>
  <r>
    <s v="P530"/>
    <s v="PVC Pipes"/>
    <s v="Asia"/>
    <x v="26"/>
    <n v="26"/>
    <n v="1406"/>
    <n v="57.66"/>
    <n v="1"/>
    <n v="5"/>
    <n v="1"/>
    <n v="0"/>
    <s v="Leverage"/>
  </r>
  <r>
    <s v="P531"/>
    <s v="PVC Pipes"/>
    <s v="Europe"/>
    <x v="30"/>
    <n v="13"/>
    <n v="7289"/>
    <n v="115.64"/>
    <n v="2"/>
    <n v="3"/>
    <n v="2"/>
    <n v="0"/>
    <s v="Leverage"/>
  </r>
  <r>
    <s v="P532"/>
    <s v="Packaging Material"/>
    <s v="Asia"/>
    <x v="23"/>
    <n v="25"/>
    <n v="5670"/>
    <n v="101.23"/>
    <n v="1"/>
    <n v="5"/>
    <n v="1"/>
    <n v="0"/>
    <s v="Leverage"/>
  </r>
  <r>
    <s v="P533"/>
    <s v="Packaging Material"/>
    <s v="North America"/>
    <x v="29"/>
    <n v="56"/>
    <n v="2895"/>
    <n v="90.32"/>
    <n v="3"/>
    <n v="5"/>
    <n v="2"/>
    <n v="0"/>
    <s v="Leverage"/>
  </r>
  <r>
    <s v="P534"/>
    <s v="Steel Beams"/>
    <s v="Europe"/>
    <x v="24"/>
    <n v="10"/>
    <n v="2956"/>
    <n v="125"/>
    <n v="2"/>
    <n v="5"/>
    <n v="2"/>
    <n v="0"/>
    <s v="Leverage"/>
  </r>
  <r>
    <s v="P535"/>
    <s v="Steel Beams"/>
    <s v="Asia"/>
    <x v="27"/>
    <n v="79"/>
    <n v="6313"/>
    <n v="101.83"/>
    <n v="3"/>
    <n v="5"/>
    <n v="1"/>
    <n v="0"/>
    <s v="Leverage"/>
  </r>
  <r>
    <s v="P536"/>
    <s v="Standard Bolts"/>
    <s v="Europe"/>
    <x v="28"/>
    <n v="86"/>
    <n v="4575"/>
    <n v="138.62"/>
    <n v="1"/>
    <n v="4"/>
    <n v="2"/>
    <n v="0"/>
    <s v="Leverage"/>
  </r>
  <r>
    <s v="P537"/>
    <s v="Standard Bolts"/>
    <s v="Europe"/>
    <x v="28"/>
    <n v="51"/>
    <n v="6316"/>
    <n v="81.48"/>
    <n v="3"/>
    <n v="5"/>
    <n v="1"/>
    <n v="0"/>
    <s v="Leverage"/>
  </r>
  <r>
    <s v="P538"/>
    <s v="Standard Bolts"/>
    <s v="North America"/>
    <x v="21"/>
    <n v="38"/>
    <n v="2657"/>
    <n v="104.03"/>
    <n v="2"/>
    <n v="5"/>
    <n v="1"/>
    <n v="0"/>
    <s v="Leverage"/>
  </r>
  <r>
    <s v="P539"/>
    <s v="PVC Pipes"/>
    <s v="Europe"/>
    <x v="30"/>
    <n v="73"/>
    <n v="1607"/>
    <n v="98.4"/>
    <n v="3"/>
    <n v="5"/>
    <n v="1"/>
    <n v="0"/>
    <s v="Leverage"/>
  </r>
  <r>
    <s v="P540"/>
    <s v="PVC Pipes"/>
    <s v="Asia"/>
    <x v="26"/>
    <n v="76"/>
    <n v="6054"/>
    <n v="147.84"/>
    <n v="1"/>
    <n v="4"/>
    <n v="2"/>
    <n v="0"/>
    <s v="Leverage"/>
  </r>
  <r>
    <s v="P541"/>
    <s v="Standard Bolts"/>
    <s v="Europe"/>
    <x v="28"/>
    <n v="66"/>
    <n v="3806"/>
    <n v="90.02"/>
    <n v="3"/>
    <n v="3"/>
    <n v="1"/>
    <n v="0"/>
    <s v="Leverage"/>
  </r>
  <r>
    <s v="P542"/>
    <s v="Packaging Material"/>
    <s v="Asia"/>
    <x v="23"/>
    <n v="36"/>
    <n v="2814"/>
    <n v="118.8"/>
    <n v="1"/>
    <n v="5"/>
    <n v="2"/>
    <n v="0"/>
    <s v="Leverage"/>
  </r>
  <r>
    <s v="P543"/>
    <s v="Steel Beams"/>
    <s v="Europe"/>
    <x v="24"/>
    <n v="64"/>
    <n v="3415"/>
    <n v="67.09"/>
    <n v="2"/>
    <n v="4"/>
    <n v="1"/>
    <n v="0"/>
    <s v="Leverage"/>
  </r>
  <r>
    <s v="P544"/>
    <s v="PVC Pipes"/>
    <s v="Asia"/>
    <x v="26"/>
    <n v="27"/>
    <n v="9307"/>
    <n v="51.66"/>
    <n v="2"/>
    <n v="5"/>
    <n v="2"/>
    <n v="0"/>
    <s v="Leverage"/>
  </r>
  <r>
    <s v="P545"/>
    <s v="PVC Pipes"/>
    <s v="North America"/>
    <x v="22"/>
    <n v="60"/>
    <n v="3941"/>
    <n v="63.55"/>
    <n v="1"/>
    <n v="4"/>
    <n v="2"/>
    <n v="0"/>
    <s v="Leverage"/>
  </r>
  <r>
    <s v="P546"/>
    <s v="Standard Bolts"/>
    <s v="Europe"/>
    <x v="28"/>
    <n v="53"/>
    <n v="2553"/>
    <n v="107.39"/>
    <n v="1"/>
    <n v="4"/>
    <n v="1"/>
    <n v="0"/>
    <s v="Leverage"/>
  </r>
  <r>
    <s v="P547"/>
    <s v="Standard Bolts"/>
    <s v="Asia"/>
    <x v="32"/>
    <n v="78"/>
    <n v="6877"/>
    <n v="108.84"/>
    <n v="3"/>
    <n v="5"/>
    <n v="2"/>
    <n v="0"/>
    <s v="Leverage"/>
  </r>
  <r>
    <s v="P548"/>
    <s v="Standard Bolts"/>
    <s v="North America"/>
    <x v="21"/>
    <n v="23"/>
    <n v="5670"/>
    <n v="101.32"/>
    <n v="1"/>
    <n v="5"/>
    <n v="2"/>
    <n v="0"/>
    <s v="Leverage"/>
  </r>
  <r>
    <s v="P549"/>
    <s v="Standard Bolts"/>
    <s v="Europe"/>
    <x v="28"/>
    <n v="82"/>
    <n v="9711"/>
    <n v="72.61"/>
    <n v="1"/>
    <n v="5"/>
    <n v="1"/>
    <n v="0"/>
    <s v="Leverage"/>
  </r>
  <r>
    <s v="P550"/>
    <s v="Steel Beams"/>
    <s v="North America"/>
    <x v="31"/>
    <n v="73"/>
    <n v="1969"/>
    <n v="71.11"/>
    <n v="1"/>
    <n v="3"/>
    <n v="1"/>
    <n v="0"/>
    <s v="Leverage"/>
  </r>
  <r>
    <s v="P551"/>
    <s v="Standard Bolts"/>
    <s v="North America"/>
    <x v="21"/>
    <n v="35"/>
    <n v="8954"/>
    <n v="102.99"/>
    <n v="3"/>
    <n v="5"/>
    <n v="1"/>
    <n v="0"/>
    <s v="Leverage"/>
  </r>
  <r>
    <s v="P552"/>
    <s v="Packaging Material"/>
    <s v="Europe"/>
    <x v="25"/>
    <n v="36"/>
    <n v="4969"/>
    <n v="84.66"/>
    <n v="1"/>
    <n v="5"/>
    <n v="2"/>
    <n v="0"/>
    <s v="Leverage"/>
  </r>
  <r>
    <s v="P553"/>
    <s v="Steel Beams"/>
    <s v="Asia"/>
    <x v="27"/>
    <n v="25"/>
    <n v="2909"/>
    <n v="130.29"/>
    <n v="1"/>
    <n v="5"/>
    <n v="1"/>
    <n v="0"/>
    <s v="Leverage"/>
  </r>
  <r>
    <s v="P554"/>
    <s v="PVC Pipes"/>
    <s v="Europe"/>
    <x v="30"/>
    <n v="26"/>
    <n v="9339"/>
    <n v="117.24"/>
    <n v="2"/>
    <n v="4"/>
    <n v="1"/>
    <n v="0"/>
    <s v="Leverage"/>
  </r>
  <r>
    <s v="P555"/>
    <s v="Standard Bolts"/>
    <s v="North America"/>
    <x v="21"/>
    <n v="13"/>
    <n v="2859"/>
    <n v="86.05"/>
    <n v="2"/>
    <n v="3"/>
    <n v="1"/>
    <n v="0"/>
    <s v="Leverage"/>
  </r>
  <r>
    <s v="P556"/>
    <s v="Packaging Material"/>
    <s v="North America"/>
    <x v="29"/>
    <n v="16"/>
    <n v="6308"/>
    <n v="129.38"/>
    <n v="1"/>
    <n v="5"/>
    <n v="1"/>
    <n v="0"/>
    <s v="Leverage"/>
  </r>
  <r>
    <s v="P557"/>
    <s v="PVC Pipes"/>
    <s v="Asia"/>
    <x v="26"/>
    <n v="7"/>
    <n v="6983"/>
    <n v="116.54"/>
    <n v="1"/>
    <n v="5"/>
    <n v="2"/>
    <n v="0"/>
    <s v="Leverage"/>
  </r>
  <r>
    <s v="P558"/>
    <s v="Standard Bolts"/>
    <s v="North America"/>
    <x v="21"/>
    <n v="53"/>
    <n v="9497"/>
    <n v="127.95"/>
    <n v="2"/>
    <n v="3"/>
    <n v="2"/>
    <n v="0"/>
    <s v="Leverage"/>
  </r>
  <r>
    <s v="P559"/>
    <s v="Packaging Material"/>
    <s v="Asia"/>
    <x v="23"/>
    <n v="73"/>
    <n v="7553"/>
    <n v="129.15"/>
    <n v="2"/>
    <n v="4"/>
    <n v="1"/>
    <n v="0"/>
    <s v="Leverage"/>
  </r>
  <r>
    <s v="P560"/>
    <s v="Packaging Material"/>
    <s v="Europe"/>
    <x v="25"/>
    <n v="44"/>
    <n v="3229"/>
    <n v="138.96"/>
    <n v="1"/>
    <n v="5"/>
    <n v="2"/>
    <n v="0"/>
    <s v="Leverage"/>
  </r>
  <r>
    <s v="P561"/>
    <s v="Packaging Material"/>
    <s v="North America"/>
    <x v="29"/>
    <n v="48"/>
    <n v="9635"/>
    <n v="72.63"/>
    <n v="1"/>
    <n v="5"/>
    <n v="2"/>
    <n v="0"/>
    <s v="Leverage"/>
  </r>
  <r>
    <s v="P562"/>
    <s v="Standard Bolts"/>
    <s v="Asia"/>
    <x v="32"/>
    <n v="86"/>
    <n v="8701"/>
    <n v="63.1"/>
    <n v="2"/>
    <n v="4"/>
    <n v="1"/>
    <n v="0"/>
    <s v="Leverage"/>
  </r>
  <r>
    <s v="P563"/>
    <s v="PVC Pipes"/>
    <s v="Europe"/>
    <x v="30"/>
    <n v="54"/>
    <n v="7155"/>
    <n v="109.41"/>
    <n v="1"/>
    <n v="5"/>
    <n v="2"/>
    <n v="0"/>
    <s v="Leverage"/>
  </r>
  <r>
    <s v="P564"/>
    <s v="Packaging Material"/>
    <s v="Europe"/>
    <x v="25"/>
    <n v="18"/>
    <n v="2409"/>
    <n v="127.75"/>
    <n v="1"/>
    <n v="5"/>
    <n v="1"/>
    <n v="0"/>
    <s v="Leverage"/>
  </r>
  <r>
    <s v="P565"/>
    <s v="Steel Beams"/>
    <s v="Europe"/>
    <x v="24"/>
    <n v="20"/>
    <n v="1279"/>
    <n v="106.39"/>
    <n v="1"/>
    <n v="5"/>
    <n v="1"/>
    <n v="0"/>
    <s v="Leverage"/>
  </r>
  <r>
    <s v="P566"/>
    <s v="PVC Pipes"/>
    <s v="Europe"/>
    <x v="30"/>
    <n v="86"/>
    <n v="7135"/>
    <n v="90.66"/>
    <n v="2"/>
    <n v="5"/>
    <n v="2"/>
    <n v="0"/>
    <s v="Leverage"/>
  </r>
  <r>
    <s v="P567"/>
    <s v="Steel Beams"/>
    <s v="North America"/>
    <x v="31"/>
    <n v="75"/>
    <n v="8697"/>
    <n v="129.22"/>
    <n v="3"/>
    <n v="5"/>
    <n v="2"/>
    <n v="0"/>
    <s v="Leverage"/>
  </r>
  <r>
    <s v="P568"/>
    <s v="Packaging Material"/>
    <s v="North America"/>
    <x v="29"/>
    <n v="20"/>
    <n v="3014"/>
    <n v="62.78"/>
    <n v="1"/>
    <n v="5"/>
    <n v="2"/>
    <n v="0"/>
    <s v="Leverage"/>
  </r>
  <r>
    <s v="P569"/>
    <s v="Steel Beams"/>
    <s v="Asia"/>
    <x v="27"/>
    <n v="33"/>
    <n v="6675"/>
    <n v="63.46"/>
    <n v="1"/>
    <n v="4"/>
    <n v="1"/>
    <n v="0"/>
    <s v="Leverage"/>
  </r>
  <r>
    <s v="P570"/>
    <s v="Packaging Material"/>
    <s v="North America"/>
    <x v="29"/>
    <n v="23"/>
    <n v="3253"/>
    <n v="78.83"/>
    <n v="2"/>
    <n v="5"/>
    <n v="1"/>
    <n v="0"/>
    <s v="Leverage"/>
  </r>
  <r>
    <s v="P571"/>
    <s v="Packaging Material"/>
    <s v="Asia"/>
    <x v="23"/>
    <n v="79"/>
    <n v="5054"/>
    <n v="51.29"/>
    <n v="2"/>
    <n v="4"/>
    <n v="2"/>
    <n v="0"/>
    <s v="Leverage"/>
  </r>
  <r>
    <s v="P572"/>
    <s v="Steel Beams"/>
    <s v="Asia"/>
    <x v="27"/>
    <n v="7"/>
    <n v="4861"/>
    <n v="104.89"/>
    <n v="1"/>
    <n v="5"/>
    <n v="2"/>
    <n v="0"/>
    <s v="Leverage"/>
  </r>
  <r>
    <s v="P573"/>
    <s v="Packaging Material"/>
    <s v="North America"/>
    <x v="29"/>
    <n v="22"/>
    <n v="5078"/>
    <n v="58.1"/>
    <n v="2"/>
    <n v="4"/>
    <n v="2"/>
    <n v="0"/>
    <s v="Leverage"/>
  </r>
  <r>
    <s v="P574"/>
    <s v="Standard Bolts"/>
    <s v="North America"/>
    <x v="21"/>
    <n v="35"/>
    <n v="4966"/>
    <n v="96.38"/>
    <n v="1"/>
    <n v="5"/>
    <n v="2"/>
    <n v="0"/>
    <s v="Leverage"/>
  </r>
  <r>
    <s v="P575"/>
    <s v="Packaging Material"/>
    <s v="Asia"/>
    <x v="23"/>
    <n v="82"/>
    <n v="3994"/>
    <n v="81.52"/>
    <n v="1"/>
    <n v="5"/>
    <n v="1"/>
    <n v="0"/>
    <s v="Leverage"/>
  </r>
  <r>
    <s v="P576"/>
    <s v="Packaging Material"/>
    <s v="Asia"/>
    <x v="23"/>
    <n v="19"/>
    <n v="1242"/>
    <n v="125.35"/>
    <n v="1"/>
    <n v="5"/>
    <n v="2"/>
    <n v="0"/>
    <s v="Leverage"/>
  </r>
  <r>
    <s v="P577"/>
    <s v="Steel Beams"/>
    <s v="Asia"/>
    <x v="27"/>
    <n v="32"/>
    <n v="3158"/>
    <n v="78.45"/>
    <n v="3"/>
    <n v="4"/>
    <n v="1"/>
    <n v="0"/>
    <s v="Leverage"/>
  </r>
  <r>
    <s v="P578"/>
    <s v="Standard Bolts"/>
    <s v="Asia"/>
    <x v="32"/>
    <n v="84"/>
    <n v="5306"/>
    <n v="104.14"/>
    <n v="2"/>
    <n v="5"/>
    <n v="2"/>
    <n v="0"/>
    <s v="Leverage"/>
  </r>
  <r>
    <s v="P579"/>
    <s v="Standard Bolts"/>
    <s v="Europe"/>
    <x v="28"/>
    <n v="48"/>
    <n v="3657"/>
    <n v="132.01"/>
    <n v="2"/>
    <n v="5"/>
    <n v="1"/>
    <n v="0"/>
    <s v="Leverage"/>
  </r>
  <r>
    <s v="P580"/>
    <s v="Packaging Material"/>
    <s v="Asia"/>
    <x v="23"/>
    <n v="67"/>
    <n v="2466"/>
    <n v="130.99"/>
    <n v="2"/>
    <n v="5"/>
    <n v="2"/>
    <n v="0"/>
    <s v="Leverage"/>
  </r>
  <r>
    <s v="P581"/>
    <s v="Packaging Material"/>
    <s v="Europe"/>
    <x v="25"/>
    <n v="19"/>
    <n v="9106"/>
    <n v="120.17"/>
    <n v="1"/>
    <n v="4"/>
    <n v="1"/>
    <n v="0"/>
    <s v="Leverage"/>
  </r>
  <r>
    <s v="P582"/>
    <s v="Steel Beams"/>
    <s v="Europe"/>
    <x v="24"/>
    <n v="51"/>
    <n v="6599"/>
    <n v="80.3"/>
    <n v="2"/>
    <n v="5"/>
    <n v="1"/>
    <n v="0"/>
    <s v="Leverage"/>
  </r>
  <r>
    <s v="P583"/>
    <s v="Standard Bolts"/>
    <s v="North America"/>
    <x v="21"/>
    <n v="42"/>
    <n v="9504"/>
    <n v="107.97"/>
    <n v="3"/>
    <n v="4"/>
    <n v="2"/>
    <n v="0"/>
    <s v="Leverage"/>
  </r>
  <r>
    <s v="P584"/>
    <s v="PVC Pipes"/>
    <s v="Europe"/>
    <x v="30"/>
    <n v="85"/>
    <n v="1272"/>
    <n v="115.81"/>
    <n v="1"/>
    <n v="3"/>
    <n v="1"/>
    <n v="0"/>
    <s v="Leverage"/>
  </r>
  <r>
    <s v="P585"/>
    <s v="PVC Pipes"/>
    <s v="Europe"/>
    <x v="30"/>
    <n v="70"/>
    <n v="1506"/>
    <n v="91.48"/>
    <n v="2"/>
    <n v="4"/>
    <n v="1"/>
    <n v="0"/>
    <s v="Leverage"/>
  </r>
  <r>
    <s v="P586"/>
    <s v="Standard Bolts"/>
    <s v="Asia"/>
    <x v="32"/>
    <n v="58"/>
    <n v="2192"/>
    <n v="123.05"/>
    <n v="1"/>
    <n v="5"/>
    <n v="2"/>
    <n v="0"/>
    <s v="Leverage"/>
  </r>
  <r>
    <s v="P587"/>
    <s v="Steel Beams"/>
    <s v="Europe"/>
    <x v="24"/>
    <n v="77"/>
    <n v="2539"/>
    <n v="89.17"/>
    <n v="1"/>
    <n v="4"/>
    <n v="1"/>
    <n v="0"/>
    <s v="Leverage"/>
  </r>
  <r>
    <s v="P588"/>
    <s v="PVC Pipes"/>
    <s v="Asia"/>
    <x v="26"/>
    <n v="38"/>
    <n v="1919"/>
    <n v="59.86"/>
    <n v="3"/>
    <n v="5"/>
    <n v="1"/>
    <n v="0"/>
    <s v="Leverage"/>
  </r>
  <r>
    <s v="P589"/>
    <s v="PVC Pipes"/>
    <s v="Asia"/>
    <x v="26"/>
    <n v="10"/>
    <n v="2436"/>
    <n v="67.209999999999994"/>
    <n v="2"/>
    <n v="5"/>
    <n v="2"/>
    <n v="0"/>
    <s v="Leverage"/>
  </r>
  <r>
    <s v="P590"/>
    <s v="Steel Beams"/>
    <s v="Europe"/>
    <x v="24"/>
    <n v="81"/>
    <n v="9111"/>
    <n v="143.96"/>
    <n v="1"/>
    <n v="4"/>
    <n v="1"/>
    <n v="0"/>
    <s v="Leverage"/>
  </r>
  <r>
    <s v="P591"/>
    <s v="PVC Pipes"/>
    <s v="North America"/>
    <x v="22"/>
    <n v="12"/>
    <n v="1692"/>
    <n v="132.87"/>
    <n v="3"/>
    <n v="5"/>
    <n v="1"/>
    <n v="0"/>
    <s v="Leverage"/>
  </r>
  <r>
    <s v="P592"/>
    <s v="PVC Pipes"/>
    <s v="Europe"/>
    <x v="30"/>
    <n v="48"/>
    <n v="9210"/>
    <n v="130.16999999999999"/>
    <n v="1"/>
    <n v="5"/>
    <n v="1"/>
    <n v="0"/>
    <s v="Leverage"/>
  </r>
  <r>
    <s v="P593"/>
    <s v="Steel Beams"/>
    <s v="Europe"/>
    <x v="24"/>
    <n v="35"/>
    <n v="1861"/>
    <n v="128.59"/>
    <n v="1"/>
    <n v="5"/>
    <n v="1"/>
    <n v="0"/>
    <s v="Leverage"/>
  </r>
  <r>
    <s v="P594"/>
    <s v="Steel Beams"/>
    <s v="Europe"/>
    <x v="24"/>
    <n v="13"/>
    <n v="6811"/>
    <n v="85.15"/>
    <n v="1"/>
    <n v="5"/>
    <n v="1"/>
    <n v="0"/>
    <s v="Leverage"/>
  </r>
  <r>
    <s v="P595"/>
    <s v="Standard Bolts"/>
    <s v="North America"/>
    <x v="21"/>
    <n v="28"/>
    <n v="5675"/>
    <n v="125.21"/>
    <n v="2"/>
    <n v="4"/>
    <n v="1"/>
    <n v="0"/>
    <s v="Leverage"/>
  </r>
  <r>
    <s v="P596"/>
    <s v="PVC Pipes"/>
    <s v="Asia"/>
    <x v="26"/>
    <n v="20"/>
    <n v="4096"/>
    <n v="113.15"/>
    <n v="3"/>
    <n v="5"/>
    <n v="1"/>
    <n v="0"/>
    <s v="Leverage"/>
  </r>
  <r>
    <s v="P597"/>
    <s v="Standard Bolts"/>
    <s v="North America"/>
    <x v="21"/>
    <n v="48"/>
    <n v="9456"/>
    <n v="72.05"/>
    <n v="3"/>
    <n v="4"/>
    <n v="2"/>
    <n v="0"/>
    <s v="Leverage"/>
  </r>
  <r>
    <s v="P598"/>
    <s v="Steel Beams"/>
    <s v="Asia"/>
    <x v="27"/>
    <n v="16"/>
    <n v="4854"/>
    <n v="72.680000000000007"/>
    <n v="3"/>
    <n v="5"/>
    <n v="1"/>
    <n v="0"/>
    <s v="Leverage"/>
  </r>
  <r>
    <s v="P599"/>
    <s v="Packaging Material"/>
    <s v="North America"/>
    <x v="29"/>
    <n v="14"/>
    <n v="6515"/>
    <n v="109.8"/>
    <n v="2"/>
    <n v="5"/>
    <n v="1"/>
    <n v="0"/>
    <s v="Leverage"/>
  </r>
  <r>
    <s v="P600"/>
    <s v="Packaging Material"/>
    <s v="North America"/>
    <x v="29"/>
    <n v="73"/>
    <n v="7019"/>
    <n v="64.53"/>
    <n v="2"/>
    <n v="4"/>
    <n v="1"/>
    <n v="0"/>
    <s v="Leverage"/>
  </r>
  <r>
    <s v="P601"/>
    <s v="Packaging Material"/>
    <s v="Europe"/>
    <x v="25"/>
    <n v="28"/>
    <n v="2016"/>
    <n v="75.81"/>
    <n v="1"/>
    <n v="4"/>
    <n v="1"/>
    <n v="0"/>
    <s v="Leverage"/>
  </r>
  <r>
    <s v="P602"/>
    <s v="Packaging Material"/>
    <s v="North America"/>
    <x v="29"/>
    <n v="18"/>
    <n v="3313"/>
    <n v="95.12"/>
    <n v="1"/>
    <n v="4"/>
    <n v="1"/>
    <n v="0"/>
    <s v="Leverage"/>
  </r>
  <r>
    <s v="P603"/>
    <s v="Steel Beams"/>
    <s v="Asia"/>
    <x v="27"/>
    <n v="75"/>
    <n v="4917"/>
    <n v="62.33"/>
    <n v="2"/>
    <n v="5"/>
    <n v="1"/>
    <n v="0"/>
    <s v="Leverage"/>
  </r>
  <r>
    <s v="P604"/>
    <s v="Standard Bolts"/>
    <s v="Asia"/>
    <x v="32"/>
    <n v="62"/>
    <n v="2819"/>
    <n v="142.81"/>
    <n v="1"/>
    <n v="5"/>
    <n v="2"/>
    <n v="0"/>
    <s v="Leverage"/>
  </r>
  <r>
    <s v="P605"/>
    <s v="Standard Bolts"/>
    <s v="Asia"/>
    <x v="32"/>
    <n v="86"/>
    <n v="8235"/>
    <n v="91.37"/>
    <n v="2"/>
    <n v="4"/>
    <n v="2"/>
    <n v="0"/>
    <s v="Leverage"/>
  </r>
  <r>
    <s v="P606"/>
    <s v="Packaging Material"/>
    <s v="Europe"/>
    <x v="25"/>
    <n v="88"/>
    <n v="4340"/>
    <n v="89.31"/>
    <n v="2"/>
    <n v="5"/>
    <n v="1"/>
    <n v="0"/>
    <s v="Leverage"/>
  </r>
  <r>
    <s v="P607"/>
    <s v="PVC Pipes"/>
    <s v="North America"/>
    <x v="22"/>
    <n v="61"/>
    <n v="5270"/>
    <n v="61.24"/>
    <n v="2"/>
    <n v="5"/>
    <n v="1"/>
    <n v="0"/>
    <s v="Leverage"/>
  </r>
  <r>
    <s v="P608"/>
    <s v="Standard Bolts"/>
    <s v="North America"/>
    <x v="21"/>
    <n v="57"/>
    <n v="7681"/>
    <n v="82.49"/>
    <n v="1"/>
    <n v="3"/>
    <n v="2"/>
    <n v="0"/>
    <s v="Leverage"/>
  </r>
  <r>
    <s v="P609"/>
    <s v="Standard Bolts"/>
    <s v="Asia"/>
    <x v="32"/>
    <n v="25"/>
    <n v="8669"/>
    <n v="68.09"/>
    <n v="2"/>
    <n v="4"/>
    <n v="1"/>
    <n v="0"/>
    <s v="Leverage"/>
  </r>
  <r>
    <s v="P610"/>
    <s v="Packaging Material"/>
    <s v="Europe"/>
    <x v="25"/>
    <n v="46"/>
    <n v="6296"/>
    <n v="136.63999999999999"/>
    <n v="2"/>
    <n v="5"/>
    <n v="1"/>
    <n v="0"/>
    <s v="Leverage"/>
  </r>
  <r>
    <s v="P611"/>
    <s v="Packaging Material"/>
    <s v="Asia"/>
    <x v="23"/>
    <n v="78"/>
    <n v="7453"/>
    <n v="111.86"/>
    <n v="1"/>
    <n v="4"/>
    <n v="2"/>
    <n v="0"/>
    <s v="Leverage"/>
  </r>
  <r>
    <s v="P612"/>
    <s v="Packaging Material"/>
    <s v="North America"/>
    <x v="29"/>
    <n v="29"/>
    <n v="3841"/>
    <n v="107.18"/>
    <n v="1"/>
    <n v="4"/>
    <n v="2"/>
    <n v="0"/>
    <s v="Leverage"/>
  </r>
  <r>
    <s v="P613"/>
    <s v="Standard Bolts"/>
    <s v="Asia"/>
    <x v="32"/>
    <n v="85"/>
    <n v="6014"/>
    <n v="98.38"/>
    <n v="2"/>
    <n v="5"/>
    <n v="2"/>
    <n v="0"/>
    <s v="Leverage"/>
  </r>
  <r>
    <s v="P614"/>
    <s v="Steel Beams"/>
    <s v="Asia"/>
    <x v="27"/>
    <n v="48"/>
    <n v="2882"/>
    <n v="69.88"/>
    <n v="2"/>
    <n v="5"/>
    <n v="1"/>
    <n v="0"/>
    <s v="Leverage"/>
  </r>
  <r>
    <s v="P615"/>
    <s v="Standard Bolts"/>
    <s v="North America"/>
    <x v="21"/>
    <n v="27"/>
    <n v="3693"/>
    <n v="106.39"/>
    <n v="1"/>
    <n v="5"/>
    <n v="1"/>
    <n v="0"/>
    <s v="Leverage"/>
  </r>
  <r>
    <s v="P616"/>
    <s v="PVC Pipes"/>
    <s v="North America"/>
    <x v="22"/>
    <n v="64"/>
    <n v="7772"/>
    <n v="63.05"/>
    <n v="2"/>
    <n v="4"/>
    <n v="2"/>
    <n v="0"/>
    <s v="Leverage"/>
  </r>
  <r>
    <s v="P617"/>
    <s v="PVC Pipes"/>
    <s v="Asia"/>
    <x v="26"/>
    <n v="46"/>
    <n v="8164"/>
    <n v="140.80000000000001"/>
    <n v="1"/>
    <n v="5"/>
    <n v="2"/>
    <n v="0"/>
    <s v="Leverage"/>
  </r>
  <r>
    <s v="P618"/>
    <s v="Standard Bolts"/>
    <s v="North America"/>
    <x v="21"/>
    <n v="68"/>
    <n v="6650"/>
    <n v="97.16"/>
    <n v="1"/>
    <n v="5"/>
    <n v="2"/>
    <n v="0"/>
    <s v="Leverage"/>
  </r>
  <r>
    <s v="P619"/>
    <s v="Steel Beams"/>
    <s v="North America"/>
    <x v="31"/>
    <n v="25"/>
    <n v="5603"/>
    <n v="52.26"/>
    <n v="2"/>
    <n v="3"/>
    <n v="2"/>
    <n v="0"/>
    <s v="Leverage"/>
  </r>
  <r>
    <s v="P620"/>
    <s v="Standard Bolts"/>
    <s v="Asia"/>
    <x v="32"/>
    <n v="86"/>
    <n v="6618"/>
    <n v="124.99"/>
    <n v="1"/>
    <n v="4"/>
    <n v="1"/>
    <n v="0"/>
    <s v="Leverage"/>
  </r>
  <r>
    <s v="P621"/>
    <s v="Packaging Material"/>
    <s v="North America"/>
    <x v="29"/>
    <n v="54"/>
    <n v="9536"/>
    <n v="88.47"/>
    <n v="2"/>
    <n v="4"/>
    <n v="1"/>
    <n v="0"/>
    <s v="Leverage"/>
  </r>
  <r>
    <s v="P622"/>
    <s v="Standard Bolts"/>
    <s v="North America"/>
    <x v="21"/>
    <n v="21"/>
    <n v="7899"/>
    <n v="67.180000000000007"/>
    <n v="1"/>
    <n v="5"/>
    <n v="2"/>
    <n v="0"/>
    <s v="Leverage"/>
  </r>
  <r>
    <s v="P623"/>
    <s v="Packaging Material"/>
    <s v="Asia"/>
    <x v="23"/>
    <n v="58"/>
    <n v="7297"/>
    <n v="116.89"/>
    <n v="2"/>
    <n v="4"/>
    <n v="2"/>
    <n v="0"/>
    <s v="Leverage"/>
  </r>
  <r>
    <s v="P624"/>
    <s v="Steel Beams"/>
    <s v="Europe"/>
    <x v="24"/>
    <n v="67"/>
    <n v="1622"/>
    <n v="106.46"/>
    <n v="1"/>
    <n v="4"/>
    <n v="2"/>
    <n v="0"/>
    <s v="Leverage"/>
  </r>
  <r>
    <s v="P625"/>
    <s v="Standard Bolts"/>
    <s v="North America"/>
    <x v="21"/>
    <n v="48"/>
    <n v="8533"/>
    <n v="113.85"/>
    <n v="2"/>
    <n v="5"/>
    <n v="2"/>
    <n v="0"/>
    <s v="Leverage"/>
  </r>
  <r>
    <s v="P626"/>
    <s v="Steel Beams"/>
    <s v="North America"/>
    <x v="31"/>
    <n v="62"/>
    <n v="1548"/>
    <n v="91.63"/>
    <n v="3"/>
    <n v="5"/>
    <n v="2"/>
    <n v="0"/>
    <s v="Leverage"/>
  </r>
  <r>
    <s v="P627"/>
    <s v="Packaging Material"/>
    <s v="Asia"/>
    <x v="23"/>
    <n v="37"/>
    <n v="2174"/>
    <n v="147.66"/>
    <n v="1"/>
    <n v="5"/>
    <n v="1"/>
    <n v="0"/>
    <s v="Leverage"/>
  </r>
  <r>
    <s v="P628"/>
    <s v="PVC Pipes"/>
    <s v="Europe"/>
    <x v="30"/>
    <n v="76"/>
    <n v="5588"/>
    <n v="55.45"/>
    <n v="3"/>
    <n v="5"/>
    <n v="2"/>
    <n v="0"/>
    <s v="Leverage"/>
  </r>
  <r>
    <s v="P629"/>
    <s v="Standard Bolts"/>
    <s v="Asia"/>
    <x v="32"/>
    <n v="66"/>
    <n v="3933"/>
    <n v="92.75"/>
    <n v="2"/>
    <n v="5"/>
    <n v="2"/>
    <n v="0"/>
    <s v="Leverage"/>
  </r>
  <r>
    <s v="P630"/>
    <s v="Standard Bolts"/>
    <s v="Asia"/>
    <x v="32"/>
    <n v="41"/>
    <n v="5479"/>
    <n v="142.15"/>
    <n v="1"/>
    <n v="5"/>
    <n v="2"/>
    <n v="0"/>
    <s v="Leverage"/>
  </r>
  <r>
    <s v="P631"/>
    <s v="Standard Bolts"/>
    <s v="North America"/>
    <x v="21"/>
    <n v="57"/>
    <n v="6731"/>
    <n v="115.77"/>
    <n v="1"/>
    <n v="5"/>
    <n v="1"/>
    <n v="0"/>
    <s v="Leverage"/>
  </r>
  <r>
    <s v="P632"/>
    <s v="Packaging Material"/>
    <s v="North America"/>
    <x v="29"/>
    <n v="33"/>
    <n v="7738"/>
    <n v="110"/>
    <n v="1"/>
    <n v="5"/>
    <n v="2"/>
    <n v="0"/>
    <s v="Leverage"/>
  </r>
  <r>
    <s v="P633"/>
    <s v="PVC Pipes"/>
    <s v="Europe"/>
    <x v="30"/>
    <n v="87"/>
    <n v="1913"/>
    <n v="64.67"/>
    <n v="1"/>
    <n v="5"/>
    <n v="1"/>
    <n v="0"/>
    <s v="Leverage"/>
  </r>
  <r>
    <s v="P634"/>
    <s v="PVC Pipes"/>
    <s v="Asia"/>
    <x v="26"/>
    <n v="84"/>
    <n v="8037"/>
    <n v="101.06"/>
    <n v="2"/>
    <n v="3"/>
    <n v="2"/>
    <n v="0"/>
    <s v="Leverage"/>
  </r>
  <r>
    <s v="P635"/>
    <s v="Standard Bolts"/>
    <s v="Asia"/>
    <x v="32"/>
    <n v="77"/>
    <n v="2894"/>
    <n v="82.88"/>
    <n v="2"/>
    <n v="5"/>
    <n v="2"/>
    <n v="0"/>
    <s v="Leverage"/>
  </r>
  <r>
    <s v="P636"/>
    <s v="Steel Beams"/>
    <s v="Asia"/>
    <x v="27"/>
    <n v="13"/>
    <n v="2335"/>
    <n v="109.78"/>
    <n v="2"/>
    <n v="4"/>
    <n v="2"/>
    <n v="0"/>
    <s v="Leverage"/>
  </r>
  <r>
    <s v="P637"/>
    <s v="Standard Bolts"/>
    <s v="Asia"/>
    <x v="32"/>
    <n v="39"/>
    <n v="5267"/>
    <n v="71.77"/>
    <n v="1"/>
    <n v="3"/>
    <n v="1"/>
    <n v="0"/>
    <s v="Leverage"/>
  </r>
  <r>
    <s v="P638"/>
    <s v="PVC Pipes"/>
    <s v="North America"/>
    <x v="22"/>
    <n v="68"/>
    <n v="6818"/>
    <n v="107.78"/>
    <n v="2"/>
    <n v="5"/>
    <n v="1"/>
    <n v="0"/>
    <s v="Leverage"/>
  </r>
  <r>
    <s v="P639"/>
    <s v="Standard Bolts"/>
    <s v="Asia"/>
    <x v="32"/>
    <n v="84"/>
    <n v="2340"/>
    <n v="117.1"/>
    <n v="2"/>
    <n v="5"/>
    <n v="1"/>
    <n v="0"/>
    <s v="Leverage"/>
  </r>
  <r>
    <s v="P640"/>
    <s v="PVC Pipes"/>
    <s v="Asia"/>
    <x v="26"/>
    <n v="53"/>
    <n v="7414"/>
    <n v="146.13999999999999"/>
    <n v="2"/>
    <n v="4"/>
    <n v="2"/>
    <n v="0"/>
    <s v="Leverage"/>
  </r>
  <r>
    <s v="P641"/>
    <s v="Steel Beams"/>
    <s v="Europe"/>
    <x v="24"/>
    <n v="7"/>
    <n v="9543"/>
    <n v="127.55"/>
    <n v="1"/>
    <n v="4"/>
    <n v="1"/>
    <n v="0"/>
    <s v="Leverage"/>
  </r>
  <r>
    <s v="P642"/>
    <s v="PVC Pipes"/>
    <s v="North America"/>
    <x v="22"/>
    <n v="70"/>
    <n v="8265"/>
    <n v="85.72"/>
    <n v="3"/>
    <n v="5"/>
    <n v="2"/>
    <n v="0"/>
    <s v="Leverage"/>
  </r>
  <r>
    <s v="P643"/>
    <s v="Steel Beams"/>
    <s v="Europe"/>
    <x v="24"/>
    <n v="22"/>
    <n v="5435"/>
    <n v="56.31"/>
    <n v="2"/>
    <n v="4"/>
    <n v="1"/>
    <n v="0"/>
    <s v="Leverage"/>
  </r>
  <r>
    <s v="P644"/>
    <s v="PVC Pipes"/>
    <s v="Europe"/>
    <x v="30"/>
    <n v="12"/>
    <n v="8440"/>
    <n v="91.9"/>
    <n v="1"/>
    <n v="5"/>
    <n v="2"/>
    <n v="0"/>
    <s v="Leverage"/>
  </r>
  <r>
    <s v="P645"/>
    <s v="Steel Beams"/>
    <s v="North America"/>
    <x v="31"/>
    <n v="63"/>
    <n v="2551"/>
    <n v="93.53"/>
    <n v="1"/>
    <n v="4"/>
    <n v="1"/>
    <n v="0"/>
    <s v="Leverage"/>
  </r>
  <r>
    <s v="P646"/>
    <s v="PVC Pipes"/>
    <s v="North America"/>
    <x v="22"/>
    <n v="24"/>
    <n v="8893"/>
    <n v="141.5"/>
    <n v="1"/>
    <n v="5"/>
    <n v="2"/>
    <n v="0"/>
    <s v="Leverage"/>
  </r>
  <r>
    <s v="P647"/>
    <s v="Standard Bolts"/>
    <s v="Europe"/>
    <x v="28"/>
    <n v="65"/>
    <n v="1215"/>
    <n v="93.05"/>
    <n v="2"/>
    <n v="5"/>
    <n v="2"/>
    <n v="0"/>
    <s v="Leverage"/>
  </r>
  <r>
    <s v="P648"/>
    <s v="Packaging Material"/>
    <s v="Europe"/>
    <x v="25"/>
    <n v="62"/>
    <n v="4510"/>
    <n v="73.45"/>
    <n v="1"/>
    <n v="5"/>
    <n v="2"/>
    <n v="0"/>
    <s v="Leverage"/>
  </r>
  <r>
    <s v="P649"/>
    <s v="Steel Beams"/>
    <s v="Asia"/>
    <x v="27"/>
    <n v="87"/>
    <n v="4020"/>
    <n v="130.24"/>
    <n v="1"/>
    <n v="5"/>
    <n v="1"/>
    <n v="0"/>
    <s v="Leverage"/>
  </r>
  <r>
    <s v="P650"/>
    <s v="Standard Bolts"/>
    <s v="Asia"/>
    <x v="32"/>
    <n v="13"/>
    <n v="3809"/>
    <n v="117.16"/>
    <n v="3"/>
    <n v="4"/>
    <n v="2"/>
    <n v="0"/>
    <s v="Leverage"/>
  </r>
  <r>
    <s v="P651"/>
    <s v="Packaging Material"/>
    <s v="Europe"/>
    <x v="25"/>
    <n v="27"/>
    <n v="6187"/>
    <n v="128.25"/>
    <n v="3"/>
    <n v="4"/>
    <n v="2"/>
    <n v="0"/>
    <s v="Leverage"/>
  </r>
  <r>
    <s v="P652"/>
    <s v="PVC Pipes"/>
    <s v="Asia"/>
    <x v="26"/>
    <n v="44"/>
    <n v="2867"/>
    <n v="50.7"/>
    <n v="2"/>
    <n v="5"/>
    <n v="2"/>
    <n v="0"/>
    <s v="Leverage"/>
  </r>
  <r>
    <s v="P653"/>
    <s v="Packaging Material"/>
    <s v="Asia"/>
    <x v="23"/>
    <n v="63"/>
    <n v="5631"/>
    <n v="74.12"/>
    <n v="1"/>
    <n v="5"/>
    <n v="2"/>
    <n v="0"/>
    <s v="Leverage"/>
  </r>
  <r>
    <s v="P654"/>
    <s v="Standard Bolts"/>
    <s v="North America"/>
    <x v="21"/>
    <n v="48"/>
    <n v="4605"/>
    <n v="86.33"/>
    <n v="3"/>
    <n v="3"/>
    <n v="1"/>
    <n v="0"/>
    <s v="Leverage"/>
  </r>
  <r>
    <s v="P655"/>
    <s v="PVC Pipes"/>
    <s v="Europe"/>
    <x v="30"/>
    <n v="85"/>
    <n v="4830"/>
    <n v="83.93"/>
    <n v="2"/>
    <n v="3"/>
    <n v="2"/>
    <n v="0"/>
    <s v="Leverage"/>
  </r>
  <r>
    <s v="P656"/>
    <s v="PVC Pipes"/>
    <s v="Europe"/>
    <x v="30"/>
    <n v="7"/>
    <n v="2910"/>
    <n v="121.79"/>
    <n v="3"/>
    <n v="5"/>
    <n v="1"/>
    <n v="0"/>
    <s v="Leverage"/>
  </r>
  <r>
    <s v="P657"/>
    <s v="Packaging Material"/>
    <s v="North America"/>
    <x v="29"/>
    <n v="67"/>
    <n v="7464"/>
    <n v="61.87"/>
    <n v="1"/>
    <n v="5"/>
    <n v="1"/>
    <n v="0"/>
    <s v="Leverage"/>
  </r>
  <r>
    <s v="P658"/>
    <s v="PVC Pipes"/>
    <s v="North America"/>
    <x v="22"/>
    <n v="13"/>
    <n v="1585"/>
    <n v="101.18"/>
    <n v="3"/>
    <n v="5"/>
    <n v="2"/>
    <n v="0"/>
    <s v="Leverage"/>
  </r>
  <r>
    <s v="P659"/>
    <s v="Packaging Material"/>
    <s v="Europe"/>
    <x v="25"/>
    <n v="25"/>
    <n v="8329"/>
    <n v="100.37"/>
    <n v="1"/>
    <n v="5"/>
    <n v="2"/>
    <n v="0"/>
    <s v="Leverage"/>
  </r>
  <r>
    <s v="P660"/>
    <s v="PVC Pipes"/>
    <s v="North America"/>
    <x v="22"/>
    <n v="64"/>
    <n v="2861"/>
    <n v="81.03"/>
    <n v="2"/>
    <n v="5"/>
    <n v="2"/>
    <n v="0"/>
    <s v="Leverage"/>
  </r>
  <r>
    <s v="P661"/>
    <s v="PVC Pipes"/>
    <s v="Asia"/>
    <x v="26"/>
    <n v="32"/>
    <n v="6398"/>
    <n v="72.05"/>
    <n v="2"/>
    <n v="5"/>
    <n v="1"/>
    <n v="0"/>
    <s v="Leverage"/>
  </r>
  <r>
    <s v="P662"/>
    <s v="Steel Beams"/>
    <s v="North America"/>
    <x v="31"/>
    <n v="86"/>
    <n v="9895"/>
    <n v="67.91"/>
    <n v="1"/>
    <n v="5"/>
    <n v="1"/>
    <n v="0"/>
    <s v="Leverage"/>
  </r>
  <r>
    <s v="P663"/>
    <s v="Standard Bolts"/>
    <s v="Asia"/>
    <x v="32"/>
    <n v="40"/>
    <n v="9092"/>
    <n v="97.77"/>
    <n v="3"/>
    <n v="3"/>
    <n v="2"/>
    <n v="0"/>
    <s v="Leverage"/>
  </r>
  <r>
    <s v="P664"/>
    <s v="Steel Beams"/>
    <s v="Asia"/>
    <x v="27"/>
    <n v="7"/>
    <n v="8481"/>
    <n v="141.76"/>
    <n v="2"/>
    <n v="3"/>
    <n v="2"/>
    <n v="0"/>
    <s v="Leverage"/>
  </r>
  <r>
    <s v="P665"/>
    <s v="Steel Beams"/>
    <s v="Europe"/>
    <x v="24"/>
    <n v="66"/>
    <n v="4174"/>
    <n v="113.56"/>
    <n v="2"/>
    <n v="4"/>
    <n v="2"/>
    <n v="0"/>
    <s v="Leverage"/>
  </r>
  <r>
    <s v="P666"/>
    <s v="Steel Beams"/>
    <s v="North America"/>
    <x v="31"/>
    <n v="33"/>
    <n v="5078"/>
    <n v="146.77000000000001"/>
    <n v="2"/>
    <n v="5"/>
    <n v="2"/>
    <n v="0"/>
    <s v="Leverage"/>
  </r>
  <r>
    <s v="P667"/>
    <s v="Packaging Material"/>
    <s v="Europe"/>
    <x v="25"/>
    <n v="21"/>
    <n v="5593"/>
    <n v="96.9"/>
    <n v="2"/>
    <n v="4"/>
    <n v="2"/>
    <n v="0"/>
    <s v="Leverage"/>
  </r>
  <r>
    <s v="P668"/>
    <s v="Steel Beams"/>
    <s v="North America"/>
    <x v="31"/>
    <n v="44"/>
    <n v="1992"/>
    <n v="52.53"/>
    <n v="2"/>
    <n v="4"/>
    <n v="1"/>
    <n v="0"/>
    <s v="Leverage"/>
  </r>
  <r>
    <s v="P669"/>
    <s v="Steel Beams"/>
    <s v="North America"/>
    <x v="31"/>
    <n v="68"/>
    <n v="5704"/>
    <n v="64.72"/>
    <n v="1"/>
    <n v="4"/>
    <n v="1"/>
    <n v="0"/>
    <s v="Leverage"/>
  </r>
  <r>
    <s v="P670"/>
    <s v="Packaging Material"/>
    <s v="Europe"/>
    <x v="25"/>
    <n v="27"/>
    <n v="5212"/>
    <n v="142.61000000000001"/>
    <n v="2"/>
    <n v="4"/>
    <n v="2"/>
    <n v="0"/>
    <s v="Leverage"/>
  </r>
  <r>
    <s v="P671"/>
    <s v="PVC Pipes"/>
    <s v="North America"/>
    <x v="22"/>
    <n v="23"/>
    <n v="9044"/>
    <n v="105.4"/>
    <n v="1"/>
    <n v="4"/>
    <n v="1"/>
    <n v="0"/>
    <s v="Leverage"/>
  </r>
  <r>
    <s v="P672"/>
    <s v="Steel Beams"/>
    <s v="Asia"/>
    <x v="27"/>
    <n v="83"/>
    <n v="8505"/>
    <n v="61.49"/>
    <n v="3"/>
    <n v="3"/>
    <n v="1"/>
    <n v="0"/>
    <s v="Leverage"/>
  </r>
  <r>
    <s v="P673"/>
    <s v="Standard Bolts"/>
    <s v="North America"/>
    <x v="21"/>
    <n v="52"/>
    <n v="5626"/>
    <n v="71.66"/>
    <n v="1"/>
    <n v="4"/>
    <n v="2"/>
    <n v="0"/>
    <s v="Leverage"/>
  </r>
  <r>
    <s v="P674"/>
    <s v="Packaging Material"/>
    <s v="North America"/>
    <x v="29"/>
    <n v="55"/>
    <n v="1786"/>
    <n v="132.94"/>
    <n v="2"/>
    <n v="5"/>
    <n v="1"/>
    <n v="0"/>
    <s v="Leverage"/>
  </r>
  <r>
    <s v="P675"/>
    <s v="Standard Bolts"/>
    <s v="Europe"/>
    <x v="28"/>
    <n v="60"/>
    <n v="8011"/>
    <n v="148.58000000000001"/>
    <n v="2"/>
    <n v="3"/>
    <n v="1"/>
    <n v="0"/>
    <s v="Leverage"/>
  </r>
  <r>
    <s v="P676"/>
    <s v="PVC Pipes"/>
    <s v="North America"/>
    <x v="22"/>
    <n v="22"/>
    <n v="3511"/>
    <n v="52"/>
    <n v="2"/>
    <n v="4"/>
    <n v="2"/>
    <n v="0"/>
    <s v="Leverage"/>
  </r>
  <r>
    <s v="P677"/>
    <s v="Packaging Material"/>
    <s v="North America"/>
    <x v="29"/>
    <n v="51"/>
    <n v="3713"/>
    <n v="124.94"/>
    <n v="2"/>
    <n v="3"/>
    <n v="2"/>
    <n v="0"/>
    <s v="Leverage"/>
  </r>
  <r>
    <s v="P678"/>
    <s v="Packaging Material"/>
    <s v="Europe"/>
    <x v="25"/>
    <n v="50"/>
    <n v="3506"/>
    <n v="146.72999999999999"/>
    <n v="1"/>
    <n v="4"/>
    <n v="2"/>
    <n v="0"/>
    <s v="Leverage"/>
  </r>
  <r>
    <s v="P679"/>
    <s v="Steel Beams"/>
    <s v="Europe"/>
    <x v="24"/>
    <n v="85"/>
    <n v="8067"/>
    <n v="75.22"/>
    <n v="1"/>
    <n v="4"/>
    <n v="2"/>
    <n v="0"/>
    <s v="Leverage"/>
  </r>
  <r>
    <s v="P680"/>
    <s v="Steel Beams"/>
    <s v="Asia"/>
    <x v="27"/>
    <n v="61"/>
    <n v="6499"/>
    <n v="133.91"/>
    <n v="1"/>
    <n v="5"/>
    <n v="2"/>
    <n v="0"/>
    <s v="Leverage"/>
  </r>
  <r>
    <s v="P681"/>
    <s v="Packaging Material"/>
    <s v="North America"/>
    <x v="29"/>
    <n v="83"/>
    <n v="9269"/>
    <n v="135.56"/>
    <n v="2"/>
    <n v="5"/>
    <n v="2"/>
    <n v="0"/>
    <s v="Leverage"/>
  </r>
  <r>
    <s v="P682"/>
    <s v="Packaging Material"/>
    <s v="North America"/>
    <x v="29"/>
    <n v="54"/>
    <n v="5275"/>
    <n v="60.82"/>
    <n v="3"/>
    <n v="5"/>
    <n v="1"/>
    <n v="0"/>
    <s v="Leverage"/>
  </r>
  <r>
    <s v="P683"/>
    <s v="Standard Bolts"/>
    <s v="North America"/>
    <x v="21"/>
    <n v="70"/>
    <n v="7500"/>
    <n v="136.96"/>
    <n v="3"/>
    <n v="5"/>
    <n v="2"/>
    <n v="0"/>
    <s v="Leverage"/>
  </r>
  <r>
    <s v="P684"/>
    <s v="Standard Bolts"/>
    <s v="North America"/>
    <x v="21"/>
    <n v="32"/>
    <n v="4364"/>
    <n v="120.66"/>
    <n v="2"/>
    <n v="3"/>
    <n v="1"/>
    <n v="0"/>
    <s v="Leverage"/>
  </r>
  <r>
    <s v="P685"/>
    <s v="Steel Beams"/>
    <s v="North America"/>
    <x v="31"/>
    <n v="20"/>
    <n v="5517"/>
    <n v="133.65"/>
    <n v="3"/>
    <n v="5"/>
    <n v="2"/>
    <n v="0"/>
    <s v="Leverage"/>
  </r>
  <r>
    <s v="P686"/>
    <s v="Standard Bolts"/>
    <s v="North America"/>
    <x v="21"/>
    <n v="23"/>
    <n v="1363"/>
    <n v="143.02000000000001"/>
    <n v="2"/>
    <n v="5"/>
    <n v="1"/>
    <n v="0"/>
    <s v="Leverage"/>
  </r>
  <r>
    <s v="P687"/>
    <s v="Steel Beams"/>
    <s v="Europe"/>
    <x v="24"/>
    <n v="10"/>
    <n v="4840"/>
    <n v="131.16"/>
    <n v="1"/>
    <n v="5"/>
    <n v="2"/>
    <n v="0"/>
    <s v="Leverage"/>
  </r>
  <r>
    <s v="P688"/>
    <s v="PVC Pipes"/>
    <s v="North America"/>
    <x v="22"/>
    <n v="69"/>
    <n v="6200"/>
    <n v="142.26"/>
    <n v="2"/>
    <n v="5"/>
    <n v="2"/>
    <n v="0"/>
    <s v="Leverage"/>
  </r>
  <r>
    <s v="P689"/>
    <s v="Steel Beams"/>
    <s v="North America"/>
    <x v="31"/>
    <n v="14"/>
    <n v="3567"/>
    <n v="98.98"/>
    <n v="1"/>
    <n v="4"/>
    <n v="2"/>
    <n v="0"/>
    <s v="Leverage"/>
  </r>
  <r>
    <s v="P690"/>
    <s v="Packaging Material"/>
    <s v="North America"/>
    <x v="29"/>
    <n v="56"/>
    <n v="6645"/>
    <n v="93.62"/>
    <n v="1"/>
    <n v="4"/>
    <n v="2"/>
    <n v="0"/>
    <s v="Leverage"/>
  </r>
  <r>
    <s v="P691"/>
    <s v="PVC Pipes"/>
    <s v="Europe"/>
    <x v="30"/>
    <n v="68"/>
    <n v="6413"/>
    <n v="142.26"/>
    <n v="1"/>
    <n v="5"/>
    <n v="2"/>
    <n v="0"/>
    <s v="Leverage"/>
  </r>
  <r>
    <s v="P692"/>
    <s v="PVC Pipes"/>
    <s v="North America"/>
    <x v="22"/>
    <n v="63"/>
    <n v="6682"/>
    <n v="112.35"/>
    <n v="2"/>
    <n v="3"/>
    <n v="2"/>
    <n v="0"/>
    <s v="Leverage"/>
  </r>
  <r>
    <s v="P693"/>
    <s v="PVC Pipes"/>
    <s v="Europe"/>
    <x v="30"/>
    <n v="58"/>
    <n v="9119"/>
    <n v="97.54"/>
    <n v="2"/>
    <n v="5"/>
    <n v="2"/>
    <n v="0"/>
    <s v="Leverage"/>
  </r>
  <r>
    <s v="P694"/>
    <s v="PVC Pipes"/>
    <s v="Europe"/>
    <x v="30"/>
    <n v="37"/>
    <n v="5938"/>
    <n v="107.68"/>
    <n v="3"/>
    <n v="4"/>
    <n v="1"/>
    <n v="0"/>
    <s v="Leverage"/>
  </r>
  <r>
    <s v="P695"/>
    <s v="Packaging Material"/>
    <s v="North America"/>
    <x v="29"/>
    <n v="57"/>
    <n v="7401"/>
    <n v="144.38"/>
    <n v="1"/>
    <n v="5"/>
    <n v="2"/>
    <n v="0"/>
    <s v="Leverage"/>
  </r>
  <r>
    <s v="P696"/>
    <s v="PVC Pipes"/>
    <s v="Europe"/>
    <x v="30"/>
    <n v="58"/>
    <n v="8933"/>
    <n v="115.38"/>
    <n v="1"/>
    <n v="5"/>
    <n v="2"/>
    <n v="0"/>
    <s v="Leverage"/>
  </r>
  <r>
    <s v="P697"/>
    <s v="Steel Beams"/>
    <s v="North America"/>
    <x v="31"/>
    <n v="88"/>
    <n v="4235"/>
    <n v="147.01"/>
    <n v="1"/>
    <n v="5"/>
    <n v="1"/>
    <n v="0"/>
    <s v="Leverage"/>
  </r>
  <r>
    <s v="P698"/>
    <s v="Steel Beams"/>
    <s v="Europe"/>
    <x v="24"/>
    <n v="14"/>
    <n v="4381"/>
    <n v="70.150000000000006"/>
    <n v="1"/>
    <n v="3"/>
    <n v="2"/>
    <n v="0"/>
    <s v="Leverage"/>
  </r>
  <r>
    <s v="P699"/>
    <s v="PVC Pipes"/>
    <s v="North America"/>
    <x v="22"/>
    <n v="64"/>
    <n v="6533"/>
    <n v="111.04"/>
    <n v="2"/>
    <n v="5"/>
    <n v="2"/>
    <n v="0"/>
    <s v="Leverage"/>
  </r>
  <r>
    <s v="P700"/>
    <s v="PVC Pipes"/>
    <s v="North America"/>
    <x v="22"/>
    <n v="13"/>
    <n v="2131"/>
    <n v="140.62"/>
    <n v="1"/>
    <n v="5"/>
    <n v="2"/>
    <n v="0"/>
    <s v="Leverage"/>
  </r>
  <r>
    <s v="P701"/>
    <s v="PVC Pipes"/>
    <s v="North America"/>
    <x v="22"/>
    <n v="19"/>
    <n v="8318"/>
    <n v="84.59"/>
    <n v="3"/>
    <n v="4"/>
    <n v="2"/>
    <n v="0"/>
    <s v="Leverage"/>
  </r>
  <r>
    <s v="P702"/>
    <s v="Steel Beams"/>
    <s v="Asia"/>
    <x v="27"/>
    <n v="13"/>
    <n v="6288"/>
    <n v="121.92"/>
    <n v="1"/>
    <n v="5"/>
    <n v="1"/>
    <n v="0"/>
    <s v="Leverage"/>
  </r>
  <r>
    <s v="P703"/>
    <s v="Packaging Material"/>
    <s v="Europe"/>
    <x v="25"/>
    <n v="32"/>
    <n v="6262"/>
    <n v="79.8"/>
    <n v="1"/>
    <n v="5"/>
    <n v="2"/>
    <n v="0"/>
    <s v="Leverage"/>
  </r>
  <r>
    <s v="P704"/>
    <s v="Steel Beams"/>
    <s v="Asia"/>
    <x v="27"/>
    <n v="29"/>
    <n v="7639"/>
    <n v="82.62"/>
    <n v="2"/>
    <n v="3"/>
    <n v="1"/>
    <n v="0"/>
    <s v="Leverage"/>
  </r>
  <r>
    <s v="P705"/>
    <s v="Standard Bolts"/>
    <s v="Europe"/>
    <x v="28"/>
    <n v="15"/>
    <n v="5711"/>
    <n v="126.91"/>
    <n v="1"/>
    <n v="5"/>
    <n v="2"/>
    <n v="0"/>
    <s v="Leverage"/>
  </r>
  <r>
    <s v="P706"/>
    <s v="Packaging Material"/>
    <s v="Europe"/>
    <x v="25"/>
    <n v="83"/>
    <n v="5379"/>
    <n v="113.46"/>
    <n v="1"/>
    <n v="5"/>
    <n v="2"/>
    <n v="0"/>
    <s v="Leverage"/>
  </r>
  <r>
    <s v="P707"/>
    <s v="Standard Bolts"/>
    <s v="North America"/>
    <x v="21"/>
    <n v="62"/>
    <n v="3637"/>
    <n v="117.66"/>
    <n v="1"/>
    <n v="5"/>
    <n v="1"/>
    <n v="0"/>
    <s v="Leverage"/>
  </r>
  <r>
    <s v="P708"/>
    <s v="Steel Beams"/>
    <s v="North America"/>
    <x v="31"/>
    <n v="60"/>
    <n v="7520"/>
    <n v="142.94"/>
    <n v="1"/>
    <n v="5"/>
    <n v="1"/>
    <n v="0"/>
    <s v="Leverage"/>
  </r>
  <r>
    <s v="P709"/>
    <s v="Standard Bolts"/>
    <s v="North America"/>
    <x v="21"/>
    <n v="42"/>
    <n v="4985"/>
    <n v="145.46"/>
    <n v="3"/>
    <n v="5"/>
    <n v="2"/>
    <n v="0"/>
    <s v="Leverage"/>
  </r>
  <r>
    <s v="P710"/>
    <s v="Steel Beams"/>
    <s v="Asia"/>
    <x v="27"/>
    <n v="84"/>
    <n v="5753"/>
    <n v="136.94999999999999"/>
    <n v="1"/>
    <n v="5"/>
    <n v="1"/>
    <n v="0"/>
    <s v="Leverage"/>
  </r>
  <r>
    <s v="P711"/>
    <s v="Packaging Material"/>
    <s v="North America"/>
    <x v="29"/>
    <n v="7"/>
    <n v="9625"/>
    <n v="63.33"/>
    <n v="1"/>
    <n v="4"/>
    <n v="1"/>
    <n v="0"/>
    <s v="Leverage"/>
  </r>
  <r>
    <s v="P712"/>
    <s v="Standard Bolts"/>
    <s v="Europe"/>
    <x v="28"/>
    <n v="45"/>
    <n v="1250"/>
    <n v="61.82"/>
    <n v="2"/>
    <n v="5"/>
    <n v="1"/>
    <n v="0"/>
    <s v="Leverage"/>
  </r>
  <r>
    <s v="P713"/>
    <s v="PVC Pipes"/>
    <s v="North America"/>
    <x v="22"/>
    <n v="8"/>
    <n v="2173"/>
    <n v="116.47"/>
    <n v="2"/>
    <n v="5"/>
    <n v="2"/>
    <n v="0"/>
    <s v="Leverage"/>
  </r>
  <r>
    <s v="P714"/>
    <s v="Steel Beams"/>
    <s v="Europe"/>
    <x v="24"/>
    <n v="86"/>
    <n v="6287"/>
    <n v="116.13"/>
    <n v="3"/>
    <n v="4"/>
    <n v="2"/>
    <n v="0"/>
    <s v="Leverage"/>
  </r>
  <r>
    <s v="P715"/>
    <s v="Steel Beams"/>
    <s v="Europe"/>
    <x v="24"/>
    <n v="55"/>
    <n v="8619"/>
    <n v="136.44"/>
    <n v="2"/>
    <n v="4"/>
    <n v="2"/>
    <n v="0"/>
    <s v="Leverage"/>
  </r>
  <r>
    <s v="P716"/>
    <s v="Packaging Material"/>
    <s v="Europe"/>
    <x v="25"/>
    <n v="29"/>
    <n v="8211"/>
    <n v="91.72"/>
    <n v="1"/>
    <n v="5"/>
    <n v="1"/>
    <n v="0"/>
    <s v="Leverage"/>
  </r>
  <r>
    <s v="P717"/>
    <s v="Packaging Material"/>
    <s v="Europe"/>
    <x v="25"/>
    <n v="84"/>
    <n v="4057"/>
    <n v="90.17"/>
    <n v="1"/>
    <n v="4"/>
    <n v="1"/>
    <n v="0"/>
    <s v="Leverage"/>
  </r>
  <r>
    <s v="P718"/>
    <s v="PVC Pipes"/>
    <s v="North America"/>
    <x v="22"/>
    <n v="40"/>
    <n v="9210"/>
    <n v="121.54"/>
    <n v="1"/>
    <n v="5"/>
    <n v="1"/>
    <n v="0"/>
    <s v="Leverage"/>
  </r>
  <r>
    <s v="P719"/>
    <s v="PVC Pipes"/>
    <s v="North America"/>
    <x v="22"/>
    <n v="16"/>
    <n v="5137"/>
    <n v="148.81"/>
    <n v="1"/>
    <n v="4"/>
    <n v="1"/>
    <n v="0"/>
    <s v="Leverage"/>
  </r>
  <r>
    <s v="P720"/>
    <s v="PVC Pipes"/>
    <s v="North America"/>
    <x v="22"/>
    <n v="36"/>
    <n v="8572"/>
    <n v="120.56"/>
    <n v="2"/>
    <n v="5"/>
    <n v="2"/>
    <n v="0"/>
    <s v="Leverage"/>
  </r>
  <r>
    <s v="P721"/>
    <s v="Steel Beams"/>
    <s v="North America"/>
    <x v="31"/>
    <n v="69"/>
    <n v="4129"/>
    <n v="54.71"/>
    <n v="1"/>
    <n v="5"/>
    <n v="1"/>
    <n v="0"/>
    <s v="Leverage"/>
  </r>
  <r>
    <s v="P722"/>
    <s v="Standard Bolts"/>
    <s v="Asia"/>
    <x v="32"/>
    <n v="16"/>
    <n v="6111"/>
    <n v="51.05"/>
    <n v="1"/>
    <n v="5"/>
    <n v="1"/>
    <n v="0"/>
    <s v="Leverage"/>
  </r>
  <r>
    <s v="P723"/>
    <s v="Standard Bolts"/>
    <s v="Asia"/>
    <x v="32"/>
    <n v="26"/>
    <n v="5025"/>
    <n v="139.38999999999999"/>
    <n v="2"/>
    <n v="5"/>
    <n v="1"/>
    <n v="0"/>
    <s v="Leverage"/>
  </r>
  <r>
    <s v="P724"/>
    <s v="PVC Pipes"/>
    <s v="North America"/>
    <x v="22"/>
    <n v="71"/>
    <n v="2812"/>
    <n v="145.88999999999999"/>
    <n v="1"/>
    <n v="5"/>
    <n v="2"/>
    <n v="0"/>
    <s v="Leverage"/>
  </r>
  <r>
    <s v="P725"/>
    <s v="Steel Beams"/>
    <s v="North America"/>
    <x v="31"/>
    <n v="61"/>
    <n v="1551"/>
    <n v="107.85"/>
    <n v="1"/>
    <n v="4"/>
    <n v="1"/>
    <n v="0"/>
    <s v="Leverage"/>
  </r>
  <r>
    <s v="P726"/>
    <s v="Packaging Material"/>
    <s v="Asia"/>
    <x v="23"/>
    <n v="83"/>
    <n v="5052"/>
    <n v="58.7"/>
    <n v="2"/>
    <n v="5"/>
    <n v="2"/>
    <n v="0"/>
    <s v="Leverage"/>
  </r>
  <r>
    <s v="P727"/>
    <s v="Steel Beams"/>
    <s v="Asia"/>
    <x v="27"/>
    <n v="65"/>
    <n v="7354"/>
    <n v="50.62"/>
    <n v="1"/>
    <n v="4"/>
    <n v="2"/>
    <n v="0"/>
    <s v="Leverage"/>
  </r>
  <r>
    <s v="P728"/>
    <s v="Packaging Material"/>
    <s v="Asia"/>
    <x v="23"/>
    <n v="45"/>
    <n v="9449"/>
    <n v="52.4"/>
    <n v="1"/>
    <n v="3"/>
    <n v="1"/>
    <n v="0"/>
    <s v="Leverage"/>
  </r>
  <r>
    <s v="P729"/>
    <s v="PVC Pipes"/>
    <s v="Europe"/>
    <x v="30"/>
    <n v="36"/>
    <n v="6670"/>
    <n v="103.82"/>
    <n v="1"/>
    <n v="4"/>
    <n v="2"/>
    <n v="0"/>
    <s v="Leverage"/>
  </r>
  <r>
    <s v="P730"/>
    <s v="Packaging Material"/>
    <s v="North America"/>
    <x v="29"/>
    <n v="63"/>
    <n v="3243"/>
    <n v="55.91"/>
    <n v="2"/>
    <n v="5"/>
    <n v="1"/>
    <n v="0"/>
    <s v="Leverage"/>
  </r>
  <r>
    <s v="P731"/>
    <s v="Standard Bolts"/>
    <s v="North America"/>
    <x v="21"/>
    <n v="38"/>
    <n v="1343"/>
    <n v="87.1"/>
    <n v="1"/>
    <n v="5"/>
    <n v="1"/>
    <n v="0"/>
    <s v="Leverage"/>
  </r>
  <r>
    <s v="P732"/>
    <s v="Packaging Material"/>
    <s v="Asia"/>
    <x v="23"/>
    <n v="82"/>
    <n v="6819"/>
    <n v="53.24"/>
    <n v="2"/>
    <n v="3"/>
    <n v="1"/>
    <n v="0"/>
    <s v="Leverage"/>
  </r>
  <r>
    <s v="P733"/>
    <s v="Packaging Material"/>
    <s v="Asia"/>
    <x v="23"/>
    <n v="24"/>
    <n v="7784"/>
    <n v="72.44"/>
    <n v="1"/>
    <n v="5"/>
    <n v="2"/>
    <n v="0"/>
    <s v="Leverage"/>
  </r>
  <r>
    <s v="P734"/>
    <s v="Packaging Material"/>
    <s v="North America"/>
    <x v="29"/>
    <n v="40"/>
    <n v="7673"/>
    <n v="107.12"/>
    <n v="2"/>
    <n v="5"/>
    <n v="1"/>
    <n v="0"/>
    <s v="Leverage"/>
  </r>
  <r>
    <s v="P735"/>
    <s v="Standard Bolts"/>
    <s v="Europe"/>
    <x v="28"/>
    <n v="41"/>
    <n v="7654"/>
    <n v="63.14"/>
    <n v="3"/>
    <n v="5"/>
    <n v="1"/>
    <n v="0"/>
    <s v="Leverage"/>
  </r>
  <r>
    <s v="P736"/>
    <s v="PVC Pipes"/>
    <s v="Europe"/>
    <x v="30"/>
    <n v="28"/>
    <n v="7310"/>
    <n v="84.81"/>
    <n v="2"/>
    <n v="5"/>
    <n v="2"/>
    <n v="0"/>
    <s v="Leverage"/>
  </r>
  <r>
    <s v="P737"/>
    <s v="Standard Bolts"/>
    <s v="North America"/>
    <x v="21"/>
    <n v="63"/>
    <n v="4382"/>
    <n v="123.65"/>
    <n v="1"/>
    <n v="5"/>
    <n v="2"/>
    <n v="0"/>
    <s v="Leverage"/>
  </r>
  <r>
    <s v="P738"/>
    <s v="Standard Bolts"/>
    <s v="Asia"/>
    <x v="32"/>
    <n v="80"/>
    <n v="5273"/>
    <n v="82.07"/>
    <n v="2"/>
    <n v="5"/>
    <n v="2"/>
    <n v="0"/>
    <s v="Leverage"/>
  </r>
  <r>
    <s v="P739"/>
    <s v="Standard Bolts"/>
    <s v="Asia"/>
    <x v="32"/>
    <n v="40"/>
    <n v="6315"/>
    <n v="148.33000000000001"/>
    <n v="3"/>
    <n v="5"/>
    <n v="1"/>
    <n v="0"/>
    <s v="Leverage"/>
  </r>
  <r>
    <s v="P740"/>
    <s v="PVC Pipes"/>
    <s v="Asia"/>
    <x v="26"/>
    <n v="56"/>
    <n v="4250"/>
    <n v="148.65"/>
    <n v="2"/>
    <n v="5"/>
    <n v="2"/>
    <n v="0"/>
    <s v="Leverage"/>
  </r>
  <r>
    <s v="P741"/>
    <s v="Steel Beams"/>
    <s v="Asia"/>
    <x v="27"/>
    <n v="54"/>
    <n v="3261"/>
    <n v="71.760000000000005"/>
    <n v="1"/>
    <n v="4"/>
    <n v="2"/>
    <n v="0"/>
    <s v="Leverage"/>
  </r>
  <r>
    <s v="P742"/>
    <s v="Steel Beams"/>
    <s v="Europe"/>
    <x v="24"/>
    <n v="80"/>
    <n v="4209"/>
    <n v="104.48"/>
    <n v="2"/>
    <n v="3"/>
    <n v="1"/>
    <n v="0"/>
    <s v="Leverage"/>
  </r>
  <r>
    <s v="P743"/>
    <s v="Steel Beams"/>
    <s v="Asia"/>
    <x v="27"/>
    <n v="46"/>
    <n v="4557"/>
    <n v="86.67"/>
    <n v="2"/>
    <n v="3"/>
    <n v="2"/>
    <n v="0"/>
    <s v="Leverage"/>
  </r>
  <r>
    <s v="P744"/>
    <s v="Packaging Material"/>
    <s v="Europe"/>
    <x v="25"/>
    <n v="33"/>
    <n v="7763"/>
    <n v="76.680000000000007"/>
    <n v="2"/>
    <n v="3"/>
    <n v="1"/>
    <n v="0"/>
    <s v="Leverage"/>
  </r>
  <r>
    <s v="P745"/>
    <s v="PVC Pipes"/>
    <s v="North America"/>
    <x v="22"/>
    <n v="58"/>
    <n v="1354"/>
    <n v="81.28"/>
    <n v="1"/>
    <n v="5"/>
    <n v="1"/>
    <n v="0"/>
    <s v="Leverage"/>
  </r>
  <r>
    <s v="P746"/>
    <s v="Packaging Material"/>
    <s v="Europe"/>
    <x v="25"/>
    <n v="45"/>
    <n v="3486"/>
    <n v="126.62"/>
    <n v="1"/>
    <n v="5"/>
    <n v="1"/>
    <n v="0"/>
    <s v="Leverage"/>
  </r>
  <r>
    <s v="P747"/>
    <s v="Steel Beams"/>
    <s v="North America"/>
    <x v="31"/>
    <n v="86"/>
    <n v="8435"/>
    <n v="116.23"/>
    <n v="1"/>
    <n v="4"/>
    <n v="1"/>
    <n v="0"/>
    <s v="Leverage"/>
  </r>
  <r>
    <s v="P748"/>
    <s v="Packaging Material"/>
    <s v="Asia"/>
    <x v="23"/>
    <n v="40"/>
    <n v="9708"/>
    <n v="97.44"/>
    <n v="1"/>
    <n v="4"/>
    <n v="2"/>
    <n v="0"/>
    <s v="Leverage"/>
  </r>
  <r>
    <s v="P749"/>
    <s v="Standard Bolts"/>
    <s v="North America"/>
    <x v="21"/>
    <n v="56"/>
    <n v="5934"/>
    <n v="73.290000000000006"/>
    <n v="3"/>
    <n v="3"/>
    <n v="1"/>
    <n v="0"/>
    <s v="Leverage"/>
  </r>
  <r>
    <s v="P750"/>
    <s v="Packaging Material"/>
    <s v="Asia"/>
    <x v="23"/>
    <n v="76"/>
    <n v="6676"/>
    <n v="63.33"/>
    <n v="2"/>
    <n v="5"/>
    <n v="1"/>
    <n v="0"/>
    <s v="Non-Critical"/>
  </r>
  <r>
    <s v="P751"/>
    <s v="Cleaning Supplies"/>
    <s v="Asia"/>
    <x v="12"/>
    <n v="55"/>
    <n v="12768"/>
    <n v="40.71"/>
    <n v="1"/>
    <n v="1"/>
    <n v="1"/>
    <n v="1"/>
    <s v="Non-Critical"/>
  </r>
  <r>
    <s v="P752"/>
    <s v="Uniforms"/>
    <s v="North America"/>
    <x v="33"/>
    <n v="43"/>
    <n v="15372"/>
    <n v="42.27"/>
    <n v="1"/>
    <n v="1"/>
    <n v="1"/>
    <n v="1"/>
    <s v="Non-Critical"/>
  </r>
  <r>
    <s v="P753"/>
    <s v="Cleaning Supplies"/>
    <s v="Asia"/>
    <x v="12"/>
    <n v="22"/>
    <n v="18902"/>
    <n v="21.86"/>
    <n v="1"/>
    <n v="2"/>
    <n v="2"/>
    <n v="1"/>
    <s v="Non-Critical"/>
  </r>
  <r>
    <s v="P754"/>
    <s v="Cleaning Supplies"/>
    <s v="Asia"/>
    <x v="12"/>
    <n v="59"/>
    <n v="19849"/>
    <n v="29.54"/>
    <n v="3"/>
    <n v="1"/>
    <n v="2"/>
    <n v="1"/>
    <s v="Non-Critical"/>
  </r>
  <r>
    <s v="P755"/>
    <s v="Printer Ink"/>
    <s v="North America"/>
    <x v="34"/>
    <n v="13"/>
    <n v="19170"/>
    <n v="35.04"/>
    <n v="2"/>
    <n v="2"/>
    <n v="2"/>
    <n v="1"/>
    <s v="Non-Critical"/>
  </r>
  <r>
    <s v="P756"/>
    <s v="Cleaning Supplies"/>
    <s v="Asia"/>
    <x v="12"/>
    <n v="32"/>
    <n v="7500"/>
    <n v="15.34"/>
    <n v="1"/>
    <n v="2"/>
    <n v="1"/>
    <n v="1"/>
    <s v="Non-Critical"/>
  </r>
  <r>
    <s v="P757"/>
    <s v="Uniforms"/>
    <s v="North America"/>
    <x v="33"/>
    <n v="10"/>
    <n v="13540"/>
    <n v="39.44"/>
    <n v="2"/>
    <n v="2"/>
    <n v="2"/>
    <n v="1"/>
    <s v="Non-Critical"/>
  </r>
  <r>
    <s v="P758"/>
    <s v="Cleaning Supplies"/>
    <s v="Asia"/>
    <x v="12"/>
    <n v="33"/>
    <n v="7419"/>
    <n v="21.17"/>
    <n v="1"/>
    <n v="3"/>
    <n v="1"/>
    <n v="1"/>
    <s v="Non-Critical"/>
  </r>
  <r>
    <s v="P759"/>
    <s v="Office Stationery"/>
    <s v="Europe"/>
    <x v="35"/>
    <n v="88"/>
    <n v="8117"/>
    <n v="48.98"/>
    <n v="2"/>
    <n v="2"/>
    <n v="2"/>
    <n v="1"/>
    <s v="Non-Critical"/>
  </r>
  <r>
    <s v="P760"/>
    <s v="Printer Ink"/>
    <s v="North America"/>
    <x v="34"/>
    <n v="73"/>
    <n v="15910"/>
    <n v="15.13"/>
    <n v="1"/>
    <n v="2"/>
    <n v="2"/>
    <n v="1"/>
    <s v="Non-Critical"/>
  </r>
  <r>
    <s v="P761"/>
    <s v="Printer Ink"/>
    <s v="North America"/>
    <x v="34"/>
    <n v="8"/>
    <n v="17779"/>
    <n v="43.06"/>
    <n v="1"/>
    <n v="1"/>
    <n v="1"/>
    <n v="1"/>
    <s v="Non-Critical"/>
  </r>
  <r>
    <s v="P762"/>
    <s v="Cleaning Supplies"/>
    <s v="Asia"/>
    <x v="12"/>
    <n v="55"/>
    <n v="19345"/>
    <n v="47.14"/>
    <n v="2"/>
    <n v="1"/>
    <n v="2"/>
    <n v="1"/>
    <s v="Non-Critical"/>
  </r>
  <r>
    <s v="P763"/>
    <s v="Printer Ink"/>
    <s v="North America"/>
    <x v="34"/>
    <n v="32"/>
    <n v="5969"/>
    <n v="24.4"/>
    <n v="1"/>
    <n v="1"/>
    <n v="1"/>
    <n v="1"/>
    <s v="Non-Critical"/>
  </r>
  <r>
    <s v="P764"/>
    <s v="Uniforms"/>
    <s v="North America"/>
    <x v="33"/>
    <n v="19"/>
    <n v="11799"/>
    <n v="36.68"/>
    <n v="2"/>
    <n v="3"/>
    <n v="1"/>
    <n v="1"/>
    <s v="Non-Critical"/>
  </r>
  <r>
    <s v="P765"/>
    <s v="Uniforms"/>
    <s v="North America"/>
    <x v="33"/>
    <n v="68"/>
    <n v="13001"/>
    <n v="29.76"/>
    <n v="2"/>
    <n v="1"/>
    <n v="2"/>
    <n v="1"/>
    <s v="Non-Critical"/>
  </r>
  <r>
    <s v="P766"/>
    <s v="Printer Ink"/>
    <s v="North America"/>
    <x v="34"/>
    <n v="27"/>
    <n v="9551"/>
    <n v="47.51"/>
    <n v="3"/>
    <n v="2"/>
    <n v="2"/>
    <n v="1"/>
    <s v="Non-Critical"/>
  </r>
  <r>
    <s v="P767"/>
    <s v="Uniforms"/>
    <s v="North America"/>
    <x v="33"/>
    <n v="37"/>
    <n v="14663"/>
    <n v="42.82"/>
    <n v="1"/>
    <n v="2"/>
    <n v="2"/>
    <n v="1"/>
    <s v="Non-Critical"/>
  </r>
  <r>
    <s v="P768"/>
    <s v="Cleaning Supplies"/>
    <s v="Asia"/>
    <x v="12"/>
    <n v="86"/>
    <n v="16534"/>
    <n v="31.86"/>
    <n v="1"/>
    <n v="1"/>
    <n v="2"/>
    <n v="1"/>
    <s v="Non-Critical"/>
  </r>
  <r>
    <s v="P769"/>
    <s v="Uniforms"/>
    <s v="North America"/>
    <x v="33"/>
    <n v="34"/>
    <n v="18653"/>
    <n v="17.37"/>
    <n v="1"/>
    <n v="1"/>
    <n v="1"/>
    <n v="1"/>
    <s v="Non-Critical"/>
  </r>
  <r>
    <s v="P770"/>
    <s v="Uniforms"/>
    <s v="North America"/>
    <x v="33"/>
    <n v="83"/>
    <n v="15464"/>
    <n v="42.78"/>
    <n v="3"/>
    <n v="2"/>
    <n v="1"/>
    <n v="1"/>
    <s v="Non-Critical"/>
  </r>
  <r>
    <s v="P771"/>
    <s v="Cleaning Supplies"/>
    <s v="Asia"/>
    <x v="12"/>
    <n v="48"/>
    <n v="12131"/>
    <n v="20.420000000000002"/>
    <n v="1"/>
    <n v="1"/>
    <n v="2"/>
    <n v="1"/>
    <s v="Non-Critical"/>
  </r>
  <r>
    <s v="P772"/>
    <s v="Printer Ink"/>
    <s v="North America"/>
    <x v="34"/>
    <n v="33"/>
    <n v="6081"/>
    <n v="21.35"/>
    <n v="1"/>
    <n v="1"/>
    <n v="2"/>
    <n v="1"/>
    <s v="Non-Critical"/>
  </r>
  <r>
    <s v="P773"/>
    <s v="Office Stationery"/>
    <s v="Europe"/>
    <x v="35"/>
    <n v="64"/>
    <n v="9760"/>
    <n v="30.51"/>
    <n v="1"/>
    <n v="1"/>
    <n v="2"/>
    <n v="1"/>
    <s v="Non-Critical"/>
  </r>
  <r>
    <s v="P774"/>
    <s v="Cleaning Supplies"/>
    <s v="Asia"/>
    <x v="12"/>
    <n v="26"/>
    <n v="18393"/>
    <n v="12.83"/>
    <n v="1"/>
    <n v="1"/>
    <n v="1"/>
    <n v="1"/>
    <s v="Non-Critical"/>
  </r>
  <r>
    <s v="P775"/>
    <s v="Printer Ink"/>
    <s v="North America"/>
    <x v="34"/>
    <n v="9"/>
    <n v="17224"/>
    <n v="22"/>
    <n v="1"/>
    <n v="1"/>
    <n v="1"/>
    <n v="1"/>
    <s v="Non-Critical"/>
  </r>
  <r>
    <s v="P776"/>
    <s v="Cleaning Supplies"/>
    <s v="Asia"/>
    <x v="12"/>
    <n v="30"/>
    <n v="18247"/>
    <n v="18.71"/>
    <n v="1"/>
    <n v="1"/>
    <n v="2"/>
    <n v="1"/>
    <s v="Non-Critical"/>
  </r>
  <r>
    <s v="P777"/>
    <s v="Printer Ink"/>
    <s v="North America"/>
    <x v="34"/>
    <n v="60"/>
    <n v="6507"/>
    <n v="49.04"/>
    <n v="3"/>
    <n v="1"/>
    <n v="2"/>
    <n v="1"/>
    <s v="Non-Critical"/>
  </r>
  <r>
    <s v="P778"/>
    <s v="Printer Ink"/>
    <s v="North America"/>
    <x v="34"/>
    <n v="75"/>
    <n v="19090"/>
    <n v="37.340000000000003"/>
    <n v="3"/>
    <n v="2"/>
    <n v="1"/>
    <n v="1"/>
    <s v="Non-Critical"/>
  </r>
  <r>
    <s v="P779"/>
    <s v="Printer Ink"/>
    <s v="North America"/>
    <x v="34"/>
    <n v="77"/>
    <n v="14697"/>
    <n v="10.09"/>
    <n v="1"/>
    <n v="3"/>
    <n v="1"/>
    <n v="1"/>
    <s v="Non-Critical"/>
  </r>
  <r>
    <s v="P780"/>
    <s v="Printer Ink"/>
    <s v="North America"/>
    <x v="34"/>
    <n v="77"/>
    <n v="7096"/>
    <n v="20.36"/>
    <n v="2"/>
    <n v="1"/>
    <n v="2"/>
    <n v="1"/>
    <s v="Non-Critical"/>
  </r>
  <r>
    <s v="P781"/>
    <s v="Uniforms"/>
    <s v="North America"/>
    <x v="33"/>
    <n v="36"/>
    <n v="13867"/>
    <n v="28.12"/>
    <n v="1"/>
    <n v="3"/>
    <n v="2"/>
    <n v="1"/>
    <s v="Non-Critical"/>
  </r>
  <r>
    <s v="P782"/>
    <s v="Cleaning Supplies"/>
    <s v="Asia"/>
    <x v="12"/>
    <n v="28"/>
    <n v="14807"/>
    <n v="32.979999999999997"/>
    <n v="1"/>
    <n v="2"/>
    <n v="2"/>
    <n v="1"/>
    <s v="Non-Critical"/>
  </r>
  <r>
    <s v="P783"/>
    <s v="Uniforms"/>
    <s v="North America"/>
    <x v="33"/>
    <n v="56"/>
    <n v="19516"/>
    <n v="17.89"/>
    <n v="1"/>
    <n v="1"/>
    <n v="2"/>
    <n v="1"/>
    <s v="Non-Critical"/>
  </r>
  <r>
    <s v="P784"/>
    <s v="Uniforms"/>
    <s v="North America"/>
    <x v="33"/>
    <n v="45"/>
    <n v="6044"/>
    <n v="31.49"/>
    <n v="2"/>
    <n v="3"/>
    <n v="2"/>
    <n v="1"/>
    <s v="Non-Critical"/>
  </r>
  <r>
    <s v="P785"/>
    <s v="Office Stationery"/>
    <s v="Europe"/>
    <x v="35"/>
    <n v="84"/>
    <n v="12503"/>
    <n v="28.22"/>
    <n v="1"/>
    <n v="3"/>
    <n v="2"/>
    <n v="1"/>
    <s v="Non-Critical"/>
  </r>
  <r>
    <s v="P786"/>
    <s v="Office Stationery"/>
    <s v="Europe"/>
    <x v="35"/>
    <n v="64"/>
    <n v="5237"/>
    <n v="37.67"/>
    <n v="2"/>
    <n v="2"/>
    <n v="2"/>
    <n v="1"/>
    <s v="Non-Critical"/>
  </r>
  <r>
    <s v="P787"/>
    <s v="Printer Ink"/>
    <s v="North America"/>
    <x v="34"/>
    <n v="13"/>
    <n v="16560"/>
    <n v="21"/>
    <n v="1"/>
    <n v="1"/>
    <n v="1"/>
    <n v="1"/>
    <s v="Non-Critical"/>
  </r>
  <r>
    <s v="P788"/>
    <s v="Cleaning Supplies"/>
    <s v="Asia"/>
    <x v="12"/>
    <n v="87"/>
    <n v="16600"/>
    <n v="22.41"/>
    <n v="1"/>
    <n v="3"/>
    <n v="2"/>
    <n v="1"/>
    <s v="Non-Critical"/>
  </r>
  <r>
    <s v="P789"/>
    <s v="Office Stationery"/>
    <s v="Europe"/>
    <x v="35"/>
    <n v="63"/>
    <n v="18216"/>
    <n v="39.5"/>
    <n v="1"/>
    <n v="2"/>
    <n v="2"/>
    <n v="1"/>
    <s v="Non-Critical"/>
  </r>
  <r>
    <s v="P790"/>
    <s v="Office Stationery"/>
    <s v="Europe"/>
    <x v="35"/>
    <n v="10"/>
    <n v="11533"/>
    <n v="38.840000000000003"/>
    <n v="2"/>
    <n v="1"/>
    <n v="2"/>
    <n v="1"/>
    <s v="Non-Critical"/>
  </r>
  <r>
    <s v="P791"/>
    <s v="Cleaning Supplies"/>
    <s v="Asia"/>
    <x v="12"/>
    <n v="68"/>
    <n v="16494"/>
    <n v="13.82"/>
    <n v="3"/>
    <n v="2"/>
    <n v="2"/>
    <n v="1"/>
    <s v="Non-Critical"/>
  </r>
  <r>
    <s v="P792"/>
    <s v="Cleaning Supplies"/>
    <s v="Asia"/>
    <x v="12"/>
    <n v="63"/>
    <n v="19033"/>
    <n v="10.68"/>
    <n v="2"/>
    <n v="1"/>
    <n v="2"/>
    <n v="1"/>
    <s v="Non-Critical"/>
  </r>
  <r>
    <s v="P793"/>
    <s v="Cleaning Supplies"/>
    <s v="Asia"/>
    <x v="12"/>
    <n v="75"/>
    <n v="8936"/>
    <n v="26.55"/>
    <n v="1"/>
    <n v="1"/>
    <n v="2"/>
    <n v="1"/>
    <s v="Non-Critical"/>
  </r>
  <r>
    <s v="P794"/>
    <s v="Printer Ink"/>
    <s v="North America"/>
    <x v="34"/>
    <n v="9"/>
    <n v="12456"/>
    <n v="12.47"/>
    <n v="1"/>
    <n v="1"/>
    <n v="2"/>
    <n v="1"/>
    <s v="Non-Critical"/>
  </r>
  <r>
    <s v="P795"/>
    <s v="Cleaning Supplies"/>
    <s v="Asia"/>
    <x v="12"/>
    <n v="57"/>
    <n v="11041"/>
    <n v="13.54"/>
    <n v="1"/>
    <n v="1"/>
    <n v="2"/>
    <n v="1"/>
    <s v="Non-Critical"/>
  </r>
  <r>
    <s v="P796"/>
    <s v="Office Stationery"/>
    <s v="Europe"/>
    <x v="35"/>
    <n v="50"/>
    <n v="5470"/>
    <n v="15.51"/>
    <n v="1"/>
    <n v="1"/>
    <n v="1"/>
    <n v="1"/>
    <s v="Non-Critical"/>
  </r>
  <r>
    <s v="P797"/>
    <s v="Uniforms"/>
    <s v="North America"/>
    <x v="33"/>
    <n v="50"/>
    <n v="15591"/>
    <n v="41.46"/>
    <n v="1"/>
    <n v="2"/>
    <n v="2"/>
    <n v="1"/>
    <s v="Non-Critical"/>
  </r>
  <r>
    <s v="P798"/>
    <s v="Cleaning Supplies"/>
    <s v="Asia"/>
    <x v="12"/>
    <n v="76"/>
    <n v="15200"/>
    <n v="16.96"/>
    <n v="3"/>
    <n v="3"/>
    <n v="2"/>
    <n v="1"/>
    <s v="Non-Critical"/>
  </r>
  <r>
    <s v="P799"/>
    <s v="Cleaning Supplies"/>
    <s v="Asia"/>
    <x v="12"/>
    <n v="49"/>
    <n v="7073"/>
    <n v="49.85"/>
    <n v="1"/>
    <n v="1"/>
    <n v="1"/>
    <n v="1"/>
    <s v="Non-Critical"/>
  </r>
  <r>
    <s v="P800"/>
    <s v="Uniforms"/>
    <s v="North America"/>
    <x v="33"/>
    <n v="24"/>
    <n v="7032"/>
    <n v="45.46"/>
    <n v="3"/>
    <n v="1"/>
    <n v="2"/>
    <n v="1"/>
    <s v="Non-Critical"/>
  </r>
  <r>
    <s v="P801"/>
    <s v="Office Stationery"/>
    <s v="Europe"/>
    <x v="35"/>
    <n v="36"/>
    <n v="9651"/>
    <n v="11.15"/>
    <n v="2"/>
    <n v="2"/>
    <n v="2"/>
    <n v="1"/>
    <s v="Non-Critical"/>
  </r>
  <r>
    <s v="P802"/>
    <s v="Uniforms"/>
    <s v="North America"/>
    <x v="33"/>
    <n v="81"/>
    <n v="12282"/>
    <n v="48.36"/>
    <n v="3"/>
    <n v="1"/>
    <n v="2"/>
    <n v="1"/>
    <s v="Non-Critical"/>
  </r>
  <r>
    <s v="P803"/>
    <s v="Printer Ink"/>
    <s v="North America"/>
    <x v="34"/>
    <n v="89"/>
    <n v="18210"/>
    <n v="37.590000000000003"/>
    <n v="3"/>
    <n v="2"/>
    <n v="2"/>
    <n v="1"/>
    <s v="Non-Critical"/>
  </r>
  <r>
    <s v="P804"/>
    <s v="Uniforms"/>
    <s v="North America"/>
    <x v="33"/>
    <n v="22"/>
    <n v="12867"/>
    <n v="40.020000000000003"/>
    <n v="1"/>
    <n v="3"/>
    <n v="1"/>
    <n v="1"/>
    <s v="Non-Critical"/>
  </r>
  <r>
    <s v="P805"/>
    <s v="Printer Ink"/>
    <s v="North America"/>
    <x v="34"/>
    <n v="55"/>
    <n v="10191"/>
    <n v="17.12"/>
    <n v="1"/>
    <n v="1"/>
    <n v="1"/>
    <n v="1"/>
    <s v="Non-Critical"/>
  </r>
  <r>
    <s v="P806"/>
    <s v="Cleaning Supplies"/>
    <s v="Asia"/>
    <x v="12"/>
    <n v="24"/>
    <n v="16675"/>
    <n v="39.56"/>
    <n v="1"/>
    <n v="3"/>
    <n v="1"/>
    <n v="1"/>
    <s v="Non-Critical"/>
  </r>
  <r>
    <s v="P807"/>
    <s v="Cleaning Supplies"/>
    <s v="Asia"/>
    <x v="12"/>
    <n v="44"/>
    <n v="16980"/>
    <n v="46.47"/>
    <n v="1"/>
    <n v="1"/>
    <n v="1"/>
    <n v="1"/>
    <s v="Non-Critical"/>
  </r>
  <r>
    <s v="P808"/>
    <s v="Cleaning Supplies"/>
    <s v="Asia"/>
    <x v="12"/>
    <n v="78"/>
    <n v="5677"/>
    <n v="42.03"/>
    <n v="2"/>
    <n v="1"/>
    <n v="2"/>
    <n v="1"/>
    <s v="Non-Critical"/>
  </r>
  <r>
    <s v="P809"/>
    <s v="Uniforms"/>
    <s v="North America"/>
    <x v="33"/>
    <n v="12"/>
    <n v="19236"/>
    <n v="28.56"/>
    <n v="2"/>
    <n v="1"/>
    <n v="2"/>
    <n v="1"/>
    <s v="Non-Critical"/>
  </r>
  <r>
    <s v="P810"/>
    <s v="Cleaning Supplies"/>
    <s v="Asia"/>
    <x v="12"/>
    <n v="19"/>
    <n v="14493"/>
    <n v="35.26"/>
    <n v="2"/>
    <n v="2"/>
    <n v="1"/>
    <n v="1"/>
    <s v="Non-Critical"/>
  </r>
  <r>
    <s v="P811"/>
    <s v="Office Stationery"/>
    <s v="Europe"/>
    <x v="35"/>
    <n v="19"/>
    <n v="5250"/>
    <n v="41.12"/>
    <n v="1"/>
    <n v="1"/>
    <n v="1"/>
    <n v="1"/>
    <s v="Non-Critical"/>
  </r>
  <r>
    <s v="P812"/>
    <s v="Cleaning Supplies"/>
    <s v="Asia"/>
    <x v="12"/>
    <n v="54"/>
    <n v="18029"/>
    <n v="26.76"/>
    <n v="2"/>
    <n v="2"/>
    <n v="1"/>
    <n v="1"/>
    <s v="Non-Critical"/>
  </r>
  <r>
    <s v="P813"/>
    <s v="Uniforms"/>
    <s v="North America"/>
    <x v="33"/>
    <n v="17"/>
    <n v="9710"/>
    <n v="14.38"/>
    <n v="1"/>
    <n v="2"/>
    <n v="1"/>
    <n v="1"/>
    <s v="Non-Critical"/>
  </r>
  <r>
    <s v="P814"/>
    <s v="Office Stationery"/>
    <s v="Europe"/>
    <x v="35"/>
    <n v="8"/>
    <n v="8675"/>
    <n v="41.07"/>
    <n v="1"/>
    <n v="1"/>
    <n v="1"/>
    <n v="1"/>
    <s v="Non-Critical"/>
  </r>
  <r>
    <s v="P815"/>
    <s v="Office Stationery"/>
    <s v="Europe"/>
    <x v="35"/>
    <n v="52"/>
    <n v="8170"/>
    <n v="49.52"/>
    <n v="2"/>
    <n v="2"/>
    <n v="2"/>
    <n v="1"/>
    <s v="Non-Critical"/>
  </r>
  <r>
    <s v="P816"/>
    <s v="Office Stationery"/>
    <s v="Europe"/>
    <x v="35"/>
    <n v="55"/>
    <n v="14019"/>
    <n v="21.25"/>
    <n v="2"/>
    <n v="2"/>
    <n v="1"/>
    <n v="1"/>
    <s v="Non-Critical"/>
  </r>
  <r>
    <s v="P817"/>
    <s v="Uniforms"/>
    <s v="North America"/>
    <x v="33"/>
    <n v="32"/>
    <n v="8735"/>
    <n v="21.98"/>
    <n v="3"/>
    <n v="3"/>
    <n v="1"/>
    <n v="1"/>
    <s v="Non-Critical"/>
  </r>
  <r>
    <s v="P818"/>
    <s v="Office Stationery"/>
    <s v="Europe"/>
    <x v="35"/>
    <n v="44"/>
    <n v="6460"/>
    <n v="41.6"/>
    <n v="1"/>
    <n v="1"/>
    <n v="1"/>
    <n v="1"/>
    <s v="Non-Critical"/>
  </r>
  <r>
    <s v="P819"/>
    <s v="Printer Ink"/>
    <s v="North America"/>
    <x v="34"/>
    <n v="23"/>
    <n v="9378"/>
    <n v="14.63"/>
    <n v="2"/>
    <n v="1"/>
    <n v="2"/>
    <n v="1"/>
    <s v="Non-Critical"/>
  </r>
  <r>
    <s v="P820"/>
    <s v="Printer Ink"/>
    <s v="North America"/>
    <x v="34"/>
    <n v="36"/>
    <n v="18186"/>
    <n v="23.66"/>
    <n v="1"/>
    <n v="2"/>
    <n v="2"/>
    <n v="1"/>
    <s v="Non-Critical"/>
  </r>
  <r>
    <s v="P821"/>
    <s v="Office Stationery"/>
    <s v="Europe"/>
    <x v="35"/>
    <n v="45"/>
    <n v="13802"/>
    <n v="48.09"/>
    <n v="2"/>
    <n v="1"/>
    <n v="1"/>
    <n v="1"/>
    <s v="Non-Critical"/>
  </r>
  <r>
    <s v="P822"/>
    <s v="Cleaning Supplies"/>
    <s v="Asia"/>
    <x v="12"/>
    <n v="33"/>
    <n v="13123"/>
    <n v="49.31"/>
    <n v="1"/>
    <n v="1"/>
    <n v="1"/>
    <n v="1"/>
    <s v="Non-Critical"/>
  </r>
  <r>
    <s v="P823"/>
    <s v="Printer Ink"/>
    <s v="North America"/>
    <x v="34"/>
    <n v="67"/>
    <n v="14604"/>
    <n v="33.97"/>
    <n v="1"/>
    <n v="2"/>
    <n v="2"/>
    <n v="1"/>
    <s v="Non-Critical"/>
  </r>
  <r>
    <s v="P824"/>
    <s v="Cleaning Supplies"/>
    <s v="Asia"/>
    <x v="12"/>
    <n v="73"/>
    <n v="14848"/>
    <n v="15.02"/>
    <n v="1"/>
    <n v="1"/>
    <n v="2"/>
    <n v="1"/>
    <s v="Non-Critical"/>
  </r>
  <r>
    <s v="P825"/>
    <s v="Office Stationery"/>
    <s v="Europe"/>
    <x v="35"/>
    <n v="82"/>
    <n v="17171"/>
    <n v="44.4"/>
    <n v="2"/>
    <n v="2"/>
    <n v="2"/>
    <n v="1"/>
    <s v="Non-Critical"/>
  </r>
  <r>
    <s v="P826"/>
    <s v="Cleaning Supplies"/>
    <s v="Asia"/>
    <x v="12"/>
    <n v="37"/>
    <n v="14420"/>
    <n v="35.07"/>
    <n v="2"/>
    <n v="1"/>
    <n v="1"/>
    <n v="1"/>
    <s v="Non-Critical"/>
  </r>
  <r>
    <s v="P827"/>
    <s v="Office Stationery"/>
    <s v="Europe"/>
    <x v="35"/>
    <n v="45"/>
    <n v="11343"/>
    <n v="40.14"/>
    <n v="2"/>
    <n v="1"/>
    <n v="2"/>
    <n v="1"/>
    <s v="Non-Critical"/>
  </r>
  <r>
    <s v="P828"/>
    <s v="Office Stationery"/>
    <s v="Europe"/>
    <x v="35"/>
    <n v="56"/>
    <n v="5727"/>
    <n v="13.63"/>
    <n v="1"/>
    <n v="2"/>
    <n v="2"/>
    <n v="1"/>
    <s v="Non-Critical"/>
  </r>
  <r>
    <s v="P829"/>
    <s v="Office Stationery"/>
    <s v="Europe"/>
    <x v="35"/>
    <n v="86"/>
    <n v="6550"/>
    <n v="46.11"/>
    <n v="1"/>
    <n v="1"/>
    <n v="2"/>
    <n v="1"/>
    <s v="Non-Critical"/>
  </r>
  <r>
    <s v="P830"/>
    <s v="Office Stationery"/>
    <s v="Europe"/>
    <x v="35"/>
    <n v="22"/>
    <n v="9241"/>
    <n v="42.09"/>
    <n v="1"/>
    <n v="3"/>
    <n v="1"/>
    <n v="1"/>
    <s v="Non-Critical"/>
  </r>
  <r>
    <s v="P831"/>
    <s v="Printer Ink"/>
    <s v="North America"/>
    <x v="34"/>
    <n v="31"/>
    <n v="16926"/>
    <n v="38.01"/>
    <n v="1"/>
    <n v="1"/>
    <n v="1"/>
    <n v="1"/>
    <s v="Non-Critical"/>
  </r>
  <r>
    <s v="P832"/>
    <s v="Office Stationery"/>
    <s v="Europe"/>
    <x v="35"/>
    <n v="59"/>
    <n v="7233"/>
    <n v="30.54"/>
    <n v="1"/>
    <n v="2"/>
    <n v="2"/>
    <n v="1"/>
    <s v="Non-Critical"/>
  </r>
  <r>
    <s v="P833"/>
    <s v="Printer Ink"/>
    <s v="North America"/>
    <x v="34"/>
    <n v="39"/>
    <n v="19781"/>
    <n v="42.22"/>
    <n v="2"/>
    <n v="1"/>
    <n v="2"/>
    <n v="1"/>
    <s v="Non-Critical"/>
  </r>
  <r>
    <s v="P834"/>
    <s v="Uniforms"/>
    <s v="North America"/>
    <x v="33"/>
    <n v="31"/>
    <n v="15970"/>
    <n v="32.909999999999997"/>
    <n v="1"/>
    <n v="2"/>
    <n v="2"/>
    <n v="1"/>
    <s v="Non-Critical"/>
  </r>
  <r>
    <s v="P835"/>
    <s v="Uniforms"/>
    <s v="North America"/>
    <x v="33"/>
    <n v="86"/>
    <n v="5858"/>
    <n v="40.93"/>
    <n v="1"/>
    <n v="2"/>
    <n v="2"/>
    <n v="1"/>
    <s v="Non-Critical"/>
  </r>
  <r>
    <s v="P836"/>
    <s v="Printer Ink"/>
    <s v="North America"/>
    <x v="34"/>
    <n v="56"/>
    <n v="6447"/>
    <n v="31.76"/>
    <n v="1"/>
    <n v="1"/>
    <n v="2"/>
    <n v="1"/>
    <s v="Non-Critical"/>
  </r>
  <r>
    <s v="P837"/>
    <s v="Printer Ink"/>
    <s v="North America"/>
    <x v="34"/>
    <n v="15"/>
    <n v="11952"/>
    <n v="20.329999999999998"/>
    <n v="1"/>
    <n v="2"/>
    <n v="2"/>
    <n v="1"/>
    <s v="Non-Critical"/>
  </r>
  <r>
    <s v="P838"/>
    <s v="Uniforms"/>
    <s v="North America"/>
    <x v="33"/>
    <n v="76"/>
    <n v="15195"/>
    <n v="19.5"/>
    <n v="2"/>
    <n v="1"/>
    <n v="2"/>
    <n v="1"/>
    <s v="Non-Critical"/>
  </r>
  <r>
    <s v="P839"/>
    <s v="Office Stationery"/>
    <s v="Europe"/>
    <x v="35"/>
    <n v="37"/>
    <n v="14336"/>
    <n v="12.09"/>
    <n v="3"/>
    <n v="1"/>
    <n v="2"/>
    <n v="1"/>
    <s v="Non-Critical"/>
  </r>
  <r>
    <s v="P840"/>
    <s v="Uniforms"/>
    <s v="North America"/>
    <x v="33"/>
    <n v="69"/>
    <n v="14951"/>
    <n v="21.27"/>
    <n v="1"/>
    <n v="1"/>
    <n v="1"/>
    <n v="1"/>
    <s v="Non-Critical"/>
  </r>
  <r>
    <s v="P841"/>
    <s v="Cleaning Supplies"/>
    <s v="Asia"/>
    <x v="12"/>
    <n v="15"/>
    <n v="12795"/>
    <n v="22.86"/>
    <n v="1"/>
    <n v="1"/>
    <n v="2"/>
    <n v="1"/>
    <s v="Non-Critical"/>
  </r>
  <r>
    <s v="P842"/>
    <s v="Uniforms"/>
    <s v="North America"/>
    <x v="33"/>
    <n v="69"/>
    <n v="18493"/>
    <n v="11.52"/>
    <n v="1"/>
    <n v="1"/>
    <n v="2"/>
    <n v="1"/>
    <s v="Non-Critical"/>
  </r>
  <r>
    <s v="P843"/>
    <s v="Printer Ink"/>
    <s v="North America"/>
    <x v="34"/>
    <n v="49"/>
    <n v="15339"/>
    <n v="41.47"/>
    <n v="2"/>
    <n v="2"/>
    <n v="2"/>
    <n v="1"/>
    <s v="Non-Critical"/>
  </r>
  <r>
    <s v="P844"/>
    <s v="Office Stationery"/>
    <s v="Europe"/>
    <x v="35"/>
    <n v="56"/>
    <n v="8690"/>
    <n v="45.21"/>
    <n v="2"/>
    <n v="1"/>
    <n v="2"/>
    <n v="1"/>
    <s v="Non-Critical"/>
  </r>
  <r>
    <s v="P845"/>
    <s v="Cleaning Supplies"/>
    <s v="Asia"/>
    <x v="12"/>
    <n v="17"/>
    <n v="9938"/>
    <n v="42.07"/>
    <n v="2"/>
    <n v="1"/>
    <n v="2"/>
    <n v="1"/>
    <s v="Non-Critical"/>
  </r>
  <r>
    <s v="P846"/>
    <s v="Office Stationery"/>
    <s v="Europe"/>
    <x v="35"/>
    <n v="17"/>
    <n v="8981"/>
    <n v="13.81"/>
    <n v="1"/>
    <n v="2"/>
    <n v="2"/>
    <n v="1"/>
    <s v="Non-Critical"/>
  </r>
  <r>
    <s v="P847"/>
    <s v="Printer Ink"/>
    <s v="North America"/>
    <x v="34"/>
    <n v="31"/>
    <n v="14126"/>
    <n v="16.940000000000001"/>
    <n v="3"/>
    <n v="3"/>
    <n v="2"/>
    <n v="1"/>
    <s v="Non-Critical"/>
  </r>
  <r>
    <s v="P848"/>
    <s v="Office Stationery"/>
    <s v="Europe"/>
    <x v="35"/>
    <n v="19"/>
    <n v="9655"/>
    <n v="49.82"/>
    <n v="2"/>
    <n v="2"/>
    <n v="2"/>
    <n v="1"/>
    <s v="Non-Critical"/>
  </r>
  <r>
    <s v="P849"/>
    <s v="Office Stationery"/>
    <s v="Europe"/>
    <x v="35"/>
    <n v="64"/>
    <n v="13712"/>
    <n v="29.56"/>
    <n v="1"/>
    <n v="1"/>
    <n v="1"/>
    <n v="1"/>
    <s v="Non-Critical"/>
  </r>
  <r>
    <s v="P850"/>
    <s v="Cleaning Supplies"/>
    <s v="Asia"/>
    <x v="12"/>
    <n v="84"/>
    <n v="9607"/>
    <n v="35.03"/>
    <n v="1"/>
    <n v="2"/>
    <n v="1"/>
    <n v="1"/>
    <s v="Non-Critical"/>
  </r>
  <r>
    <s v="P851"/>
    <s v="Printer Ink"/>
    <s v="North America"/>
    <x v="34"/>
    <n v="13"/>
    <n v="6857"/>
    <n v="32.869999999999997"/>
    <n v="1"/>
    <n v="1"/>
    <n v="2"/>
    <n v="1"/>
    <s v="Non-Critical"/>
  </r>
  <r>
    <s v="P852"/>
    <s v="Cleaning Supplies"/>
    <s v="Asia"/>
    <x v="12"/>
    <n v="33"/>
    <n v="10072"/>
    <n v="10.88"/>
    <n v="3"/>
    <n v="2"/>
    <n v="2"/>
    <n v="1"/>
    <s v="Non-Critical"/>
  </r>
  <r>
    <s v="P853"/>
    <s v="Cleaning Supplies"/>
    <s v="Asia"/>
    <x v="12"/>
    <n v="30"/>
    <n v="15085"/>
    <n v="14.04"/>
    <n v="3"/>
    <n v="2"/>
    <n v="2"/>
    <n v="1"/>
    <s v="Non-Critical"/>
  </r>
  <r>
    <s v="P854"/>
    <s v="Office Stationery"/>
    <s v="Europe"/>
    <x v="35"/>
    <n v="40"/>
    <n v="6386"/>
    <n v="13.75"/>
    <n v="3"/>
    <n v="3"/>
    <n v="2"/>
    <n v="1"/>
    <s v="Non-Critical"/>
  </r>
  <r>
    <s v="P855"/>
    <s v="Printer Ink"/>
    <s v="North America"/>
    <x v="34"/>
    <n v="88"/>
    <n v="19940"/>
    <n v="13.62"/>
    <n v="2"/>
    <n v="2"/>
    <n v="2"/>
    <n v="1"/>
    <s v="Non-Critical"/>
  </r>
  <r>
    <s v="P856"/>
    <s v="Uniforms"/>
    <s v="North America"/>
    <x v="33"/>
    <n v="55"/>
    <n v="8308"/>
    <n v="29.86"/>
    <n v="3"/>
    <n v="1"/>
    <n v="1"/>
    <n v="1"/>
    <s v="Non-Critical"/>
  </r>
  <r>
    <s v="P857"/>
    <s v="Cleaning Supplies"/>
    <s v="Asia"/>
    <x v="12"/>
    <n v="46"/>
    <n v="9782"/>
    <n v="24.66"/>
    <n v="2"/>
    <n v="3"/>
    <n v="2"/>
    <n v="1"/>
    <s v="Non-Critical"/>
  </r>
  <r>
    <s v="P858"/>
    <s v="Uniforms"/>
    <s v="North America"/>
    <x v="33"/>
    <n v="88"/>
    <n v="16774"/>
    <n v="25.17"/>
    <n v="1"/>
    <n v="2"/>
    <n v="2"/>
    <n v="1"/>
    <s v="Non-Critical"/>
  </r>
  <r>
    <s v="P859"/>
    <s v="Uniforms"/>
    <s v="North America"/>
    <x v="33"/>
    <n v="26"/>
    <n v="17955"/>
    <n v="33.14"/>
    <n v="3"/>
    <n v="2"/>
    <n v="1"/>
    <n v="1"/>
    <s v="Non-Critical"/>
  </r>
  <r>
    <s v="P860"/>
    <s v="Printer Ink"/>
    <s v="North America"/>
    <x v="34"/>
    <n v="40"/>
    <n v="5834"/>
    <n v="36.03"/>
    <n v="1"/>
    <n v="3"/>
    <n v="1"/>
    <n v="1"/>
    <s v="Non-Critical"/>
  </r>
  <r>
    <s v="P861"/>
    <s v="Cleaning Supplies"/>
    <s v="Asia"/>
    <x v="12"/>
    <n v="31"/>
    <n v="14330"/>
    <n v="30.01"/>
    <n v="1"/>
    <n v="2"/>
    <n v="2"/>
    <n v="1"/>
    <s v="Non-Critical"/>
  </r>
  <r>
    <s v="P862"/>
    <s v="Uniforms"/>
    <s v="North America"/>
    <x v="33"/>
    <n v="69"/>
    <n v="8110"/>
    <n v="32.270000000000003"/>
    <n v="3"/>
    <n v="2"/>
    <n v="1"/>
    <n v="1"/>
    <s v="Non-Critical"/>
  </r>
  <r>
    <s v="P863"/>
    <s v="Uniforms"/>
    <s v="North America"/>
    <x v="33"/>
    <n v="89"/>
    <n v="5212"/>
    <n v="34.78"/>
    <n v="1"/>
    <n v="1"/>
    <n v="1"/>
    <n v="1"/>
    <s v="Non-Critical"/>
  </r>
  <r>
    <s v="P864"/>
    <s v="Cleaning Supplies"/>
    <s v="Asia"/>
    <x v="12"/>
    <n v="46"/>
    <n v="18777"/>
    <n v="17.62"/>
    <n v="2"/>
    <n v="1"/>
    <n v="1"/>
    <n v="1"/>
    <s v="Non-Critical"/>
  </r>
  <r>
    <s v="P865"/>
    <s v="Uniforms"/>
    <s v="North America"/>
    <x v="33"/>
    <n v="61"/>
    <n v="9808"/>
    <n v="24"/>
    <n v="1"/>
    <n v="1"/>
    <n v="1"/>
    <n v="1"/>
    <s v="Non-Critical"/>
  </r>
  <r>
    <s v="P866"/>
    <s v="Uniforms"/>
    <s v="North America"/>
    <x v="33"/>
    <n v="33"/>
    <n v="17910"/>
    <n v="24.58"/>
    <n v="1"/>
    <n v="3"/>
    <n v="2"/>
    <n v="1"/>
    <s v="Non-Critical"/>
  </r>
  <r>
    <s v="P867"/>
    <s v="Office Stationery"/>
    <s v="Europe"/>
    <x v="35"/>
    <n v="48"/>
    <n v="18863"/>
    <n v="18.3"/>
    <n v="1"/>
    <n v="1"/>
    <n v="2"/>
    <n v="1"/>
    <s v="Non-Critical"/>
  </r>
  <r>
    <s v="P868"/>
    <s v="Cleaning Supplies"/>
    <s v="Asia"/>
    <x v="12"/>
    <n v="31"/>
    <n v="6777"/>
    <n v="39.78"/>
    <n v="1"/>
    <n v="2"/>
    <n v="1"/>
    <n v="1"/>
    <s v="Non-Critical"/>
  </r>
  <r>
    <s v="P869"/>
    <s v="Printer Ink"/>
    <s v="North America"/>
    <x v="34"/>
    <n v="41"/>
    <n v="13343"/>
    <n v="13.33"/>
    <n v="3"/>
    <n v="3"/>
    <n v="2"/>
    <n v="1"/>
    <s v="Non-Critical"/>
  </r>
  <r>
    <s v="P870"/>
    <s v="Office Stationery"/>
    <s v="Europe"/>
    <x v="35"/>
    <n v="23"/>
    <n v="17708"/>
    <n v="32.619999999999997"/>
    <n v="2"/>
    <n v="3"/>
    <n v="1"/>
    <n v="1"/>
    <s v="Non-Critical"/>
  </r>
  <r>
    <s v="P871"/>
    <s v="Office Stationery"/>
    <s v="Europe"/>
    <x v="35"/>
    <n v="83"/>
    <n v="15972"/>
    <n v="36.83"/>
    <n v="1"/>
    <n v="1"/>
    <n v="1"/>
    <n v="1"/>
    <s v="Non-Critical"/>
  </r>
  <r>
    <s v="P872"/>
    <s v="Office Stationery"/>
    <s v="Europe"/>
    <x v="35"/>
    <n v="26"/>
    <n v="8845"/>
    <n v="13.37"/>
    <n v="1"/>
    <n v="1"/>
    <n v="2"/>
    <n v="1"/>
    <s v="Non-Critical"/>
  </r>
  <r>
    <s v="P873"/>
    <s v="Office Stationery"/>
    <s v="Europe"/>
    <x v="35"/>
    <n v="31"/>
    <n v="5968"/>
    <n v="27.69"/>
    <n v="2"/>
    <n v="2"/>
    <n v="1"/>
    <n v="1"/>
    <s v="Non-Critical"/>
  </r>
  <r>
    <s v="P874"/>
    <s v="Office Stationery"/>
    <s v="Europe"/>
    <x v="35"/>
    <n v="62"/>
    <n v="9725"/>
    <n v="38.69"/>
    <n v="1"/>
    <n v="1"/>
    <n v="2"/>
    <n v="1"/>
    <s v="Non-Critical"/>
  </r>
  <r>
    <s v="P875"/>
    <s v="Uniforms"/>
    <s v="North America"/>
    <x v="33"/>
    <n v="58"/>
    <n v="12420"/>
    <n v="40.5"/>
    <n v="2"/>
    <n v="1"/>
    <n v="2"/>
    <n v="1"/>
    <s v="Non-Critical"/>
  </r>
  <r>
    <s v="P876"/>
    <s v="Printer Ink"/>
    <s v="North America"/>
    <x v="34"/>
    <n v="64"/>
    <n v="18391"/>
    <n v="42.23"/>
    <n v="3"/>
    <n v="1"/>
    <n v="1"/>
    <n v="1"/>
    <s v="Non-Critical"/>
  </r>
  <r>
    <s v="P877"/>
    <s v="Office Stationery"/>
    <s v="Europe"/>
    <x v="35"/>
    <n v="68"/>
    <n v="12174"/>
    <n v="17.010000000000002"/>
    <n v="3"/>
    <n v="1"/>
    <n v="2"/>
    <n v="1"/>
    <s v="Non-Critical"/>
  </r>
  <r>
    <s v="P878"/>
    <s v="Uniforms"/>
    <s v="North America"/>
    <x v="33"/>
    <n v="30"/>
    <n v="17641"/>
    <n v="48.2"/>
    <n v="3"/>
    <n v="1"/>
    <n v="1"/>
    <n v="1"/>
    <s v="Non-Critical"/>
  </r>
  <r>
    <s v="P879"/>
    <s v="Uniforms"/>
    <s v="North America"/>
    <x v="33"/>
    <n v="85"/>
    <n v="14308"/>
    <n v="28.79"/>
    <n v="2"/>
    <n v="3"/>
    <n v="2"/>
    <n v="1"/>
    <s v="Non-Critical"/>
  </r>
  <r>
    <s v="P880"/>
    <s v="Office Stationery"/>
    <s v="Europe"/>
    <x v="35"/>
    <n v="31"/>
    <n v="6736"/>
    <n v="36.56"/>
    <n v="2"/>
    <n v="3"/>
    <n v="1"/>
    <n v="1"/>
    <s v="Non-Critical"/>
  </r>
  <r>
    <s v="P881"/>
    <s v="Office Stationery"/>
    <s v="Europe"/>
    <x v="35"/>
    <n v="19"/>
    <n v="6764"/>
    <n v="33.26"/>
    <n v="1"/>
    <n v="1"/>
    <n v="2"/>
    <n v="1"/>
    <s v="Non-Critical"/>
  </r>
  <r>
    <s v="P882"/>
    <s v="Uniforms"/>
    <s v="North America"/>
    <x v="33"/>
    <n v="45"/>
    <n v="19382"/>
    <n v="35.82"/>
    <n v="2"/>
    <n v="1"/>
    <n v="1"/>
    <n v="1"/>
    <s v="Non-Critical"/>
  </r>
  <r>
    <s v="P883"/>
    <s v="Office Stationery"/>
    <s v="Europe"/>
    <x v="35"/>
    <n v="87"/>
    <n v="5391"/>
    <n v="27.07"/>
    <n v="1"/>
    <n v="2"/>
    <n v="1"/>
    <n v="1"/>
    <s v="Non-Critical"/>
  </r>
  <r>
    <s v="P884"/>
    <s v="Cleaning Supplies"/>
    <s v="Asia"/>
    <x v="12"/>
    <n v="70"/>
    <n v="16930"/>
    <n v="32.46"/>
    <n v="2"/>
    <n v="1"/>
    <n v="2"/>
    <n v="1"/>
    <s v="Non-Critical"/>
  </r>
  <r>
    <s v="P885"/>
    <s v="Printer Ink"/>
    <s v="North America"/>
    <x v="34"/>
    <n v="59"/>
    <n v="11671"/>
    <n v="33.32"/>
    <n v="2"/>
    <n v="1"/>
    <n v="1"/>
    <n v="1"/>
    <s v="Non-Critical"/>
  </r>
  <r>
    <s v="P886"/>
    <s v="Office Stationery"/>
    <s v="Europe"/>
    <x v="35"/>
    <n v="79"/>
    <n v="8883"/>
    <n v="11.91"/>
    <n v="1"/>
    <n v="3"/>
    <n v="2"/>
    <n v="1"/>
    <s v="Non-Critical"/>
  </r>
  <r>
    <s v="P887"/>
    <s v="Printer Ink"/>
    <s v="North America"/>
    <x v="34"/>
    <n v="49"/>
    <n v="19168"/>
    <n v="25.42"/>
    <n v="2"/>
    <n v="2"/>
    <n v="1"/>
    <n v="1"/>
    <s v="Non-Critical"/>
  </r>
  <r>
    <s v="P888"/>
    <s v="Uniforms"/>
    <s v="North America"/>
    <x v="33"/>
    <n v="37"/>
    <n v="9277"/>
    <n v="20.49"/>
    <n v="1"/>
    <n v="1"/>
    <n v="1"/>
    <n v="1"/>
    <s v="Non-Critical"/>
  </r>
  <r>
    <s v="P889"/>
    <s v="Printer Ink"/>
    <s v="North America"/>
    <x v="34"/>
    <n v="15"/>
    <n v="14716"/>
    <n v="29.63"/>
    <n v="1"/>
    <n v="3"/>
    <n v="2"/>
    <n v="1"/>
    <s v="Non-Critical"/>
  </r>
  <r>
    <s v="P890"/>
    <s v="Cleaning Supplies"/>
    <s v="Asia"/>
    <x v="12"/>
    <n v="84"/>
    <n v="12213"/>
    <n v="31.18"/>
    <n v="2"/>
    <n v="2"/>
    <n v="2"/>
    <n v="1"/>
    <s v="Non-Critical"/>
  </r>
  <r>
    <s v="P891"/>
    <s v="Printer Ink"/>
    <s v="North America"/>
    <x v="34"/>
    <n v="50"/>
    <n v="6909"/>
    <n v="49.98"/>
    <n v="2"/>
    <n v="2"/>
    <n v="2"/>
    <n v="1"/>
    <s v="Non-Critical"/>
  </r>
  <r>
    <s v="P892"/>
    <s v="Cleaning Supplies"/>
    <s v="Asia"/>
    <x v="12"/>
    <n v="67"/>
    <n v="8061"/>
    <n v="13.79"/>
    <n v="3"/>
    <n v="1"/>
    <n v="2"/>
    <n v="1"/>
    <s v="Non-Critical"/>
  </r>
  <r>
    <s v="P893"/>
    <s v="Printer Ink"/>
    <s v="North America"/>
    <x v="34"/>
    <n v="65"/>
    <n v="12280"/>
    <n v="37.409999999999997"/>
    <n v="1"/>
    <n v="1"/>
    <n v="2"/>
    <n v="1"/>
    <s v="Non-Critical"/>
  </r>
  <r>
    <s v="P894"/>
    <s v="Cleaning Supplies"/>
    <s v="Asia"/>
    <x v="12"/>
    <n v="55"/>
    <n v="15284"/>
    <n v="38.090000000000003"/>
    <n v="1"/>
    <n v="3"/>
    <n v="2"/>
    <n v="1"/>
    <s v="Non-Critical"/>
  </r>
  <r>
    <s v="P895"/>
    <s v="Uniforms"/>
    <s v="North America"/>
    <x v="33"/>
    <n v="53"/>
    <n v="13458"/>
    <n v="18.79"/>
    <n v="1"/>
    <n v="1"/>
    <n v="2"/>
    <n v="1"/>
    <s v="Non-Critical"/>
  </r>
  <r>
    <s v="P896"/>
    <s v="Cleaning Supplies"/>
    <s v="Asia"/>
    <x v="12"/>
    <n v="88"/>
    <n v="14063"/>
    <n v="34.880000000000003"/>
    <n v="3"/>
    <n v="2"/>
    <n v="2"/>
    <n v="1"/>
    <s v="Non-Critical"/>
  </r>
  <r>
    <s v="P897"/>
    <s v="Office Stationery"/>
    <s v="Europe"/>
    <x v="35"/>
    <n v="45"/>
    <n v="9357"/>
    <n v="10.4"/>
    <n v="1"/>
    <n v="3"/>
    <n v="2"/>
    <n v="1"/>
    <s v="Non-Critical"/>
  </r>
  <r>
    <s v="P898"/>
    <s v="Uniforms"/>
    <s v="North America"/>
    <x v="33"/>
    <n v="42"/>
    <n v="16401"/>
    <n v="34.15"/>
    <n v="1"/>
    <n v="1"/>
    <n v="1"/>
    <n v="1"/>
    <s v="Non-Critical"/>
  </r>
  <r>
    <s v="P899"/>
    <s v="Office Stationery"/>
    <s v="Europe"/>
    <x v="35"/>
    <n v="77"/>
    <n v="13728"/>
    <n v="24.87"/>
    <n v="1"/>
    <n v="1"/>
    <n v="1"/>
    <n v="1"/>
    <s v="Non-Critical"/>
  </r>
  <r>
    <s v="P900"/>
    <s v="Office Stationery"/>
    <s v="Europe"/>
    <x v="35"/>
    <n v="29"/>
    <n v="8400"/>
    <n v="43.64"/>
    <n v="1"/>
    <n v="1"/>
    <n v="2"/>
    <n v="1"/>
    <s v="Non-Critical"/>
  </r>
  <r>
    <s v="P901"/>
    <s v="Printer Ink"/>
    <s v="North America"/>
    <x v="34"/>
    <n v="37"/>
    <n v="6103"/>
    <n v="12.09"/>
    <n v="3"/>
    <n v="2"/>
    <n v="1"/>
    <n v="1"/>
    <s v="Non-Critical"/>
  </r>
  <r>
    <s v="P902"/>
    <s v="Office Stationery"/>
    <s v="Europe"/>
    <x v="35"/>
    <n v="74"/>
    <n v="11017"/>
    <n v="43.81"/>
    <n v="3"/>
    <n v="2"/>
    <n v="1"/>
    <n v="1"/>
    <s v="Non-Critical"/>
  </r>
  <r>
    <s v="P903"/>
    <s v="Printer Ink"/>
    <s v="North America"/>
    <x v="34"/>
    <n v="77"/>
    <n v="14638"/>
    <n v="48.39"/>
    <n v="1"/>
    <n v="3"/>
    <n v="1"/>
    <n v="1"/>
    <s v="Non-Critical"/>
  </r>
  <r>
    <s v="P904"/>
    <s v="Cleaning Supplies"/>
    <s v="Asia"/>
    <x v="12"/>
    <n v="32"/>
    <n v="16560"/>
    <n v="44.33"/>
    <n v="2"/>
    <n v="1"/>
    <n v="2"/>
    <n v="1"/>
    <s v="Non-Critical"/>
  </r>
  <r>
    <s v="P905"/>
    <s v="Printer Ink"/>
    <s v="North America"/>
    <x v="34"/>
    <n v="76"/>
    <n v="8740"/>
    <n v="44.72"/>
    <n v="2"/>
    <n v="1"/>
    <n v="1"/>
    <n v="1"/>
    <s v="Non-Critical"/>
  </r>
  <r>
    <s v="P906"/>
    <s v="Office Stationery"/>
    <s v="Europe"/>
    <x v="35"/>
    <n v="71"/>
    <n v="11941"/>
    <n v="23.46"/>
    <n v="1"/>
    <n v="2"/>
    <n v="1"/>
    <n v="1"/>
    <s v="Non-Critical"/>
  </r>
  <r>
    <s v="P907"/>
    <s v="Printer Ink"/>
    <s v="North America"/>
    <x v="34"/>
    <n v="58"/>
    <n v="9234"/>
    <n v="39.74"/>
    <n v="1"/>
    <n v="1"/>
    <n v="1"/>
    <n v="1"/>
    <s v="Non-Critical"/>
  </r>
  <r>
    <s v="P908"/>
    <s v="Printer Ink"/>
    <s v="North America"/>
    <x v="34"/>
    <n v="32"/>
    <n v="17762"/>
    <n v="38.520000000000003"/>
    <n v="1"/>
    <n v="1"/>
    <n v="1"/>
    <n v="1"/>
    <s v="Non-Critical"/>
  </r>
  <r>
    <s v="P909"/>
    <s v="Office Stationery"/>
    <s v="Europe"/>
    <x v="35"/>
    <n v="83"/>
    <n v="13705"/>
    <n v="34.31"/>
    <n v="1"/>
    <n v="1"/>
    <n v="1"/>
    <n v="1"/>
    <s v="Non-Critical"/>
  </r>
  <r>
    <s v="P910"/>
    <s v="Cleaning Supplies"/>
    <s v="Asia"/>
    <x v="12"/>
    <n v="52"/>
    <n v="12846"/>
    <n v="26.81"/>
    <n v="1"/>
    <n v="1"/>
    <n v="2"/>
    <n v="1"/>
    <s v="Non-Critical"/>
  </r>
  <r>
    <s v="P911"/>
    <s v="Uniforms"/>
    <s v="North America"/>
    <x v="33"/>
    <n v="25"/>
    <n v="9508"/>
    <n v="12.4"/>
    <n v="3"/>
    <n v="1"/>
    <n v="2"/>
    <n v="1"/>
    <s v="Non-Critical"/>
  </r>
  <r>
    <s v="P912"/>
    <s v="Office Stationery"/>
    <s v="Europe"/>
    <x v="35"/>
    <n v="19"/>
    <n v="8273"/>
    <n v="44.95"/>
    <n v="1"/>
    <n v="2"/>
    <n v="2"/>
    <n v="1"/>
    <s v="Non-Critical"/>
  </r>
  <r>
    <s v="P913"/>
    <s v="Office Stationery"/>
    <s v="Europe"/>
    <x v="35"/>
    <n v="69"/>
    <n v="17664"/>
    <n v="20"/>
    <n v="2"/>
    <n v="3"/>
    <n v="2"/>
    <n v="1"/>
    <s v="Non-Critical"/>
  </r>
  <r>
    <s v="P914"/>
    <s v="Office Stationery"/>
    <s v="Europe"/>
    <x v="35"/>
    <n v="23"/>
    <n v="11605"/>
    <n v="20.89"/>
    <n v="1"/>
    <n v="2"/>
    <n v="2"/>
    <n v="1"/>
    <s v="Non-Critical"/>
  </r>
  <r>
    <s v="P915"/>
    <s v="Uniforms"/>
    <s v="North America"/>
    <x v="33"/>
    <n v="80"/>
    <n v="6875"/>
    <n v="33.86"/>
    <n v="1"/>
    <n v="1"/>
    <n v="2"/>
    <n v="1"/>
    <s v="Non-Critical"/>
  </r>
  <r>
    <s v="P916"/>
    <s v="Cleaning Supplies"/>
    <s v="Asia"/>
    <x v="12"/>
    <n v="64"/>
    <n v="9311"/>
    <n v="31.47"/>
    <n v="2"/>
    <n v="3"/>
    <n v="2"/>
    <n v="1"/>
    <s v="Non-Critical"/>
  </r>
  <r>
    <s v="P917"/>
    <s v="Office Stationery"/>
    <s v="Europe"/>
    <x v="35"/>
    <n v="85"/>
    <n v="15629"/>
    <n v="11.45"/>
    <n v="1"/>
    <n v="1"/>
    <n v="2"/>
    <n v="1"/>
    <s v="Non-Critical"/>
  </r>
  <r>
    <s v="P918"/>
    <s v="Cleaning Supplies"/>
    <s v="Asia"/>
    <x v="12"/>
    <n v="71"/>
    <n v="16109"/>
    <n v="22.23"/>
    <n v="3"/>
    <n v="1"/>
    <n v="1"/>
    <n v="1"/>
    <s v="Non-Critical"/>
  </r>
  <r>
    <s v="P919"/>
    <s v="Uniforms"/>
    <s v="North America"/>
    <x v="33"/>
    <n v="77"/>
    <n v="9005"/>
    <n v="21.43"/>
    <n v="2"/>
    <n v="3"/>
    <n v="1"/>
    <n v="1"/>
    <s v="Non-Critical"/>
  </r>
  <r>
    <s v="P920"/>
    <s v="Printer Ink"/>
    <s v="North America"/>
    <x v="34"/>
    <n v="61"/>
    <n v="10260"/>
    <n v="31.97"/>
    <n v="1"/>
    <n v="3"/>
    <n v="2"/>
    <n v="1"/>
    <s v="Non-Critical"/>
  </r>
  <r>
    <s v="P921"/>
    <s v="Office Stationery"/>
    <s v="Europe"/>
    <x v="35"/>
    <n v="73"/>
    <n v="8301"/>
    <n v="27.99"/>
    <n v="2"/>
    <n v="2"/>
    <n v="1"/>
    <n v="1"/>
    <s v="Non-Critical"/>
  </r>
  <r>
    <s v="P922"/>
    <s v="Uniforms"/>
    <s v="North America"/>
    <x v="33"/>
    <n v="56"/>
    <n v="17915"/>
    <n v="26.42"/>
    <n v="2"/>
    <n v="1"/>
    <n v="2"/>
    <n v="1"/>
    <s v="Non-Critical"/>
  </r>
  <r>
    <s v="P923"/>
    <s v="Cleaning Supplies"/>
    <s v="Asia"/>
    <x v="12"/>
    <n v="32"/>
    <n v="14587"/>
    <n v="44.6"/>
    <n v="1"/>
    <n v="2"/>
    <n v="1"/>
    <n v="1"/>
    <s v="Non-Critical"/>
  </r>
  <r>
    <s v="P924"/>
    <s v="Printer Ink"/>
    <s v="North America"/>
    <x v="34"/>
    <n v="26"/>
    <n v="14280"/>
    <n v="15.4"/>
    <n v="3"/>
    <n v="2"/>
    <n v="2"/>
    <n v="1"/>
    <s v="Non-Critical"/>
  </r>
  <r>
    <s v="P925"/>
    <s v="Office Stationery"/>
    <s v="Europe"/>
    <x v="35"/>
    <n v="30"/>
    <n v="19731"/>
    <n v="40.270000000000003"/>
    <n v="1"/>
    <n v="1"/>
    <n v="2"/>
    <n v="1"/>
    <s v="Non-Critical"/>
  </r>
  <r>
    <s v="P926"/>
    <s v="Cleaning Supplies"/>
    <s v="Asia"/>
    <x v="12"/>
    <n v="32"/>
    <n v="8003"/>
    <n v="11.67"/>
    <n v="1"/>
    <n v="1"/>
    <n v="1"/>
    <n v="1"/>
    <s v="Non-Critical"/>
  </r>
  <r>
    <s v="P927"/>
    <s v="Cleaning Supplies"/>
    <s v="Asia"/>
    <x v="12"/>
    <n v="43"/>
    <n v="16760"/>
    <n v="36.22"/>
    <n v="3"/>
    <n v="1"/>
    <n v="1"/>
    <n v="1"/>
    <s v="Non-Critical"/>
  </r>
  <r>
    <s v="P928"/>
    <s v="Office Stationery"/>
    <s v="Europe"/>
    <x v="35"/>
    <n v="20"/>
    <n v="15139"/>
    <n v="24.91"/>
    <n v="2"/>
    <n v="3"/>
    <n v="1"/>
    <n v="1"/>
    <s v="Non-Critical"/>
  </r>
  <r>
    <s v="P929"/>
    <s v="Uniforms"/>
    <s v="North America"/>
    <x v="33"/>
    <n v="62"/>
    <n v="16039"/>
    <n v="42.13"/>
    <n v="2"/>
    <n v="1"/>
    <n v="2"/>
    <n v="1"/>
    <s v="Non-Critical"/>
  </r>
  <r>
    <s v="P930"/>
    <s v="Office Stationery"/>
    <s v="Europe"/>
    <x v="35"/>
    <n v="28"/>
    <n v="5669"/>
    <n v="21.79"/>
    <n v="3"/>
    <n v="1"/>
    <n v="2"/>
    <n v="1"/>
    <s v="Non-Critical"/>
  </r>
  <r>
    <s v="P931"/>
    <s v="Cleaning Supplies"/>
    <s v="Asia"/>
    <x v="12"/>
    <n v="28"/>
    <n v="17627"/>
    <n v="41.94"/>
    <n v="1"/>
    <n v="1"/>
    <n v="1"/>
    <n v="1"/>
    <s v="Non-Critical"/>
  </r>
  <r>
    <s v="P932"/>
    <s v="Cleaning Supplies"/>
    <s v="Asia"/>
    <x v="12"/>
    <n v="13"/>
    <n v="19024"/>
    <n v="44.28"/>
    <n v="2"/>
    <n v="3"/>
    <n v="2"/>
    <n v="1"/>
    <s v="Non-Critical"/>
  </r>
  <r>
    <s v="P933"/>
    <s v="Uniforms"/>
    <s v="North America"/>
    <x v="33"/>
    <n v="70"/>
    <n v="5486"/>
    <n v="40.89"/>
    <n v="1"/>
    <n v="1"/>
    <n v="1"/>
    <n v="1"/>
    <s v="Non-Critical"/>
  </r>
  <r>
    <s v="P934"/>
    <s v="Cleaning Supplies"/>
    <s v="Asia"/>
    <x v="12"/>
    <n v="80"/>
    <n v="13572"/>
    <n v="10.69"/>
    <n v="3"/>
    <n v="2"/>
    <n v="1"/>
    <n v="1"/>
    <s v="Non-Critical"/>
  </r>
  <r>
    <s v="P935"/>
    <s v="Uniforms"/>
    <s v="North America"/>
    <x v="33"/>
    <n v="72"/>
    <n v="12756"/>
    <n v="36.58"/>
    <n v="1"/>
    <n v="3"/>
    <n v="1"/>
    <n v="1"/>
    <s v="Non-Critical"/>
  </r>
  <r>
    <s v="P936"/>
    <s v="Uniforms"/>
    <s v="North America"/>
    <x v="33"/>
    <n v="71"/>
    <n v="7587"/>
    <n v="14.53"/>
    <n v="1"/>
    <n v="2"/>
    <n v="1"/>
    <n v="1"/>
    <s v="Non-Critical"/>
  </r>
  <r>
    <s v="P937"/>
    <s v="Cleaning Supplies"/>
    <s v="Asia"/>
    <x v="12"/>
    <n v="70"/>
    <n v="19306"/>
    <n v="12.96"/>
    <n v="1"/>
    <n v="1"/>
    <n v="1"/>
    <n v="1"/>
    <s v="Non-Critical"/>
  </r>
  <r>
    <s v="P938"/>
    <s v="Office Stationery"/>
    <s v="Europe"/>
    <x v="35"/>
    <n v="40"/>
    <n v="9331"/>
    <n v="16.97"/>
    <n v="1"/>
    <n v="2"/>
    <n v="1"/>
    <n v="1"/>
    <s v="Non-Critical"/>
  </r>
  <r>
    <s v="P939"/>
    <s v="Printer Ink"/>
    <s v="North America"/>
    <x v="34"/>
    <n v="47"/>
    <n v="9320"/>
    <n v="12.53"/>
    <n v="1"/>
    <n v="3"/>
    <n v="1"/>
    <n v="1"/>
    <s v="Non-Critical"/>
  </r>
  <r>
    <s v="P940"/>
    <s v="Cleaning Supplies"/>
    <s v="Asia"/>
    <x v="12"/>
    <n v="34"/>
    <n v="10539"/>
    <n v="49"/>
    <n v="1"/>
    <n v="1"/>
    <n v="1"/>
    <n v="1"/>
    <s v="Non-Critical"/>
  </r>
  <r>
    <s v="P941"/>
    <s v="Uniforms"/>
    <s v="North America"/>
    <x v="33"/>
    <n v="35"/>
    <n v="16215"/>
    <n v="16.59"/>
    <n v="2"/>
    <n v="1"/>
    <n v="1"/>
    <n v="1"/>
    <s v="Non-Critical"/>
  </r>
  <r>
    <s v="P942"/>
    <s v="Printer Ink"/>
    <s v="North America"/>
    <x v="34"/>
    <n v="10"/>
    <n v="7001"/>
    <n v="12.19"/>
    <n v="1"/>
    <n v="3"/>
    <n v="1"/>
    <n v="1"/>
    <s v="Non-Critical"/>
  </r>
  <r>
    <s v="P943"/>
    <s v="Uniforms"/>
    <s v="North America"/>
    <x v="33"/>
    <n v="67"/>
    <n v="15344"/>
    <n v="44.99"/>
    <n v="1"/>
    <n v="2"/>
    <n v="2"/>
    <n v="1"/>
    <s v="Non-Critical"/>
  </r>
  <r>
    <s v="P944"/>
    <s v="Cleaning Supplies"/>
    <s v="Asia"/>
    <x v="12"/>
    <n v="29"/>
    <n v="18824"/>
    <n v="25.94"/>
    <n v="1"/>
    <n v="3"/>
    <n v="1"/>
    <n v="1"/>
    <s v="Non-Critical"/>
  </r>
  <r>
    <s v="P945"/>
    <s v="Uniforms"/>
    <s v="North America"/>
    <x v="33"/>
    <n v="67"/>
    <n v="17129"/>
    <n v="15.92"/>
    <n v="1"/>
    <n v="2"/>
    <n v="1"/>
    <n v="1"/>
    <s v="Non-Critical"/>
  </r>
  <r>
    <s v="P946"/>
    <s v="Printer Ink"/>
    <s v="North America"/>
    <x v="34"/>
    <n v="56"/>
    <n v="19792"/>
    <n v="42.72"/>
    <n v="1"/>
    <n v="2"/>
    <n v="2"/>
    <n v="1"/>
    <s v="Non-Critical"/>
  </r>
  <r>
    <s v="P947"/>
    <s v="Office Stationery"/>
    <s v="Europe"/>
    <x v="35"/>
    <n v="7"/>
    <n v="17234"/>
    <n v="12.18"/>
    <n v="2"/>
    <n v="1"/>
    <n v="2"/>
    <n v="1"/>
    <s v="Non-Critical"/>
  </r>
  <r>
    <s v="P948"/>
    <s v="Uniforms"/>
    <s v="North America"/>
    <x v="33"/>
    <n v="49"/>
    <n v="16650"/>
    <n v="47.43"/>
    <n v="2"/>
    <n v="2"/>
    <n v="1"/>
    <n v="1"/>
    <s v="Non-Critical"/>
  </r>
  <r>
    <s v="P949"/>
    <s v="Cleaning Supplies"/>
    <s v="Asia"/>
    <x v="12"/>
    <n v="78"/>
    <n v="8201"/>
    <n v="18.61"/>
    <n v="2"/>
    <n v="1"/>
    <n v="2"/>
    <n v="1"/>
    <s v="Non-Critical"/>
  </r>
  <r>
    <s v="P950"/>
    <s v="Uniforms"/>
    <s v="North America"/>
    <x v="33"/>
    <n v="25"/>
    <n v="12083"/>
    <n v="25.5"/>
    <n v="1"/>
    <n v="1"/>
    <n v="2"/>
    <n v="1"/>
    <s v="Non-Critical"/>
  </r>
  <r>
    <s v="P951"/>
    <s v="Printer Ink"/>
    <s v="North America"/>
    <x v="34"/>
    <n v="56"/>
    <n v="13490"/>
    <n v="36.82"/>
    <n v="2"/>
    <n v="1"/>
    <n v="2"/>
    <n v="1"/>
    <s v="Non-Critical"/>
  </r>
  <r>
    <s v="P952"/>
    <s v="Cleaning Supplies"/>
    <s v="Asia"/>
    <x v="12"/>
    <n v="67"/>
    <n v="14069"/>
    <n v="30.58"/>
    <n v="3"/>
    <n v="1"/>
    <n v="1"/>
    <n v="1"/>
    <s v="Non-Critical"/>
  </r>
  <r>
    <s v="P953"/>
    <s v="Cleaning Supplies"/>
    <s v="Asia"/>
    <x v="12"/>
    <n v="76"/>
    <n v="15095"/>
    <n v="19.07"/>
    <n v="1"/>
    <n v="3"/>
    <n v="1"/>
    <n v="1"/>
    <s v="Non-Critical"/>
  </r>
  <r>
    <s v="P954"/>
    <s v="Printer Ink"/>
    <s v="North America"/>
    <x v="34"/>
    <n v="62"/>
    <n v="12320"/>
    <n v="39.42"/>
    <n v="2"/>
    <n v="1"/>
    <n v="2"/>
    <n v="1"/>
    <s v="Non-Critical"/>
  </r>
  <r>
    <s v="P955"/>
    <s v="Cleaning Supplies"/>
    <s v="Asia"/>
    <x v="12"/>
    <n v="72"/>
    <n v="12593"/>
    <n v="42.58"/>
    <n v="2"/>
    <n v="1"/>
    <n v="1"/>
    <n v="1"/>
    <s v="Non-Critical"/>
  </r>
  <r>
    <s v="P956"/>
    <s v="Cleaning Supplies"/>
    <s v="Asia"/>
    <x v="12"/>
    <n v="78"/>
    <n v="12586"/>
    <n v="48.32"/>
    <n v="1"/>
    <n v="1"/>
    <n v="1"/>
    <n v="1"/>
    <s v="Non-Critical"/>
  </r>
  <r>
    <s v="P957"/>
    <s v="Printer Ink"/>
    <s v="North America"/>
    <x v="34"/>
    <n v="71"/>
    <n v="8167"/>
    <n v="17.71"/>
    <n v="1"/>
    <n v="1"/>
    <n v="2"/>
    <n v="1"/>
    <s v="Non-Critical"/>
  </r>
  <r>
    <s v="P958"/>
    <s v="Office Stationery"/>
    <s v="Europe"/>
    <x v="35"/>
    <n v="18"/>
    <n v="9477"/>
    <n v="31.43"/>
    <n v="2"/>
    <n v="1"/>
    <n v="2"/>
    <n v="1"/>
    <s v="Non-Critical"/>
  </r>
  <r>
    <s v="P959"/>
    <s v="Office Stationery"/>
    <s v="Europe"/>
    <x v="35"/>
    <n v="26"/>
    <n v="14546"/>
    <n v="29.31"/>
    <n v="1"/>
    <n v="2"/>
    <n v="1"/>
    <n v="1"/>
    <s v="Non-Critical"/>
  </r>
  <r>
    <s v="P960"/>
    <s v="Printer Ink"/>
    <s v="North America"/>
    <x v="34"/>
    <n v="36"/>
    <n v="16294"/>
    <n v="29.34"/>
    <n v="2"/>
    <n v="2"/>
    <n v="2"/>
    <n v="1"/>
    <s v="Non-Critical"/>
  </r>
  <r>
    <s v="P961"/>
    <s v="Office Stationery"/>
    <s v="Europe"/>
    <x v="35"/>
    <n v="87"/>
    <n v="10255"/>
    <n v="17.98"/>
    <n v="2"/>
    <n v="1"/>
    <n v="1"/>
    <n v="1"/>
    <s v="Non-Critical"/>
  </r>
  <r>
    <s v="P962"/>
    <s v="Uniforms"/>
    <s v="North America"/>
    <x v="33"/>
    <n v="59"/>
    <n v="6885"/>
    <n v="44.06"/>
    <n v="2"/>
    <n v="3"/>
    <n v="1"/>
    <n v="1"/>
    <s v="Non-Critical"/>
  </r>
  <r>
    <s v="P963"/>
    <s v="Printer Ink"/>
    <s v="North America"/>
    <x v="34"/>
    <n v="50"/>
    <n v="12171"/>
    <n v="40.200000000000003"/>
    <n v="2"/>
    <n v="2"/>
    <n v="1"/>
    <n v="1"/>
    <s v="Non-Critical"/>
  </r>
  <r>
    <s v="P964"/>
    <s v="Uniforms"/>
    <s v="North America"/>
    <x v="33"/>
    <n v="79"/>
    <n v="9947"/>
    <n v="18.41"/>
    <n v="1"/>
    <n v="1"/>
    <n v="2"/>
    <n v="1"/>
    <s v="Non-Critical"/>
  </r>
  <r>
    <s v="P965"/>
    <s v="Uniforms"/>
    <s v="North America"/>
    <x v="33"/>
    <n v="64"/>
    <n v="13959"/>
    <n v="37.92"/>
    <n v="1"/>
    <n v="2"/>
    <n v="2"/>
    <n v="1"/>
    <s v="Non-Critical"/>
  </r>
  <r>
    <s v="P966"/>
    <s v="Printer Ink"/>
    <s v="North America"/>
    <x v="34"/>
    <n v="83"/>
    <n v="16340"/>
    <n v="27.83"/>
    <n v="2"/>
    <n v="1"/>
    <n v="2"/>
    <n v="1"/>
    <s v="Non-Critical"/>
  </r>
  <r>
    <s v="P967"/>
    <s v="Cleaning Supplies"/>
    <s v="Asia"/>
    <x v="12"/>
    <n v="30"/>
    <n v="10487"/>
    <n v="31.51"/>
    <n v="1"/>
    <n v="1"/>
    <n v="2"/>
    <n v="1"/>
    <s v="Non-Critical"/>
  </r>
  <r>
    <s v="P968"/>
    <s v="Cleaning Supplies"/>
    <s v="Asia"/>
    <x v="12"/>
    <n v="14"/>
    <n v="8374"/>
    <n v="38.44"/>
    <n v="1"/>
    <n v="2"/>
    <n v="2"/>
    <n v="1"/>
    <s v="Non-Critical"/>
  </r>
  <r>
    <s v="P969"/>
    <s v="Uniforms"/>
    <s v="North America"/>
    <x v="33"/>
    <n v="55"/>
    <n v="12631"/>
    <n v="42.78"/>
    <n v="2"/>
    <n v="1"/>
    <n v="1"/>
    <n v="1"/>
    <s v="Non-Critical"/>
  </r>
  <r>
    <s v="P970"/>
    <s v="Printer Ink"/>
    <s v="North America"/>
    <x v="34"/>
    <n v="84"/>
    <n v="16595"/>
    <n v="48.76"/>
    <n v="2"/>
    <n v="2"/>
    <n v="1"/>
    <n v="1"/>
    <s v="Non-Critical"/>
  </r>
  <r>
    <s v="P971"/>
    <s v="Cleaning Supplies"/>
    <s v="Asia"/>
    <x v="12"/>
    <n v="52"/>
    <n v="16462"/>
    <n v="36.42"/>
    <n v="1"/>
    <n v="1"/>
    <n v="1"/>
    <n v="1"/>
    <s v="Non-Critical"/>
  </r>
  <r>
    <s v="P972"/>
    <s v="Uniforms"/>
    <s v="North America"/>
    <x v="33"/>
    <n v="89"/>
    <n v="11300"/>
    <n v="21.7"/>
    <n v="1"/>
    <n v="1"/>
    <n v="1"/>
    <n v="1"/>
    <s v="Non-Critical"/>
  </r>
  <r>
    <s v="P973"/>
    <s v="Cleaning Supplies"/>
    <s v="Asia"/>
    <x v="12"/>
    <n v="11"/>
    <n v="19104"/>
    <n v="38.840000000000003"/>
    <n v="1"/>
    <n v="3"/>
    <n v="2"/>
    <n v="1"/>
    <s v="Non-Critical"/>
  </r>
  <r>
    <s v="P974"/>
    <s v="Printer Ink"/>
    <s v="North America"/>
    <x v="34"/>
    <n v="71"/>
    <n v="19581"/>
    <n v="42.19"/>
    <n v="1"/>
    <n v="2"/>
    <n v="2"/>
    <n v="1"/>
    <s v="Non-Critical"/>
  </r>
  <r>
    <s v="P975"/>
    <s v="Cleaning Supplies"/>
    <s v="Asia"/>
    <x v="12"/>
    <n v="16"/>
    <n v="18603"/>
    <n v="16.39"/>
    <n v="1"/>
    <n v="3"/>
    <n v="2"/>
    <n v="1"/>
    <s v="Non-Critical"/>
  </r>
  <r>
    <s v="P976"/>
    <s v="Office Stationery"/>
    <s v="Europe"/>
    <x v="35"/>
    <n v="63"/>
    <n v="9890"/>
    <n v="19.45"/>
    <n v="2"/>
    <n v="2"/>
    <n v="1"/>
    <n v="1"/>
    <s v="Non-Critical"/>
  </r>
  <r>
    <s v="P977"/>
    <s v="Uniforms"/>
    <s v="North America"/>
    <x v="33"/>
    <n v="79"/>
    <n v="7916"/>
    <n v="31.34"/>
    <n v="1"/>
    <n v="2"/>
    <n v="1"/>
    <n v="1"/>
    <s v="Non-Critical"/>
  </r>
  <r>
    <s v="P978"/>
    <s v="Cleaning Supplies"/>
    <s v="Asia"/>
    <x v="12"/>
    <n v="34"/>
    <n v="12190"/>
    <n v="34.270000000000003"/>
    <n v="1"/>
    <n v="1"/>
    <n v="1"/>
    <n v="1"/>
    <s v="Non-Critical"/>
  </r>
  <r>
    <s v="P979"/>
    <s v="Printer Ink"/>
    <s v="North America"/>
    <x v="34"/>
    <n v="15"/>
    <n v="8621"/>
    <n v="39.909999999999997"/>
    <n v="2"/>
    <n v="3"/>
    <n v="2"/>
    <n v="1"/>
    <s v="Non-Critical"/>
  </r>
  <r>
    <s v="P980"/>
    <s v="Office Stationery"/>
    <s v="Europe"/>
    <x v="35"/>
    <n v="16"/>
    <n v="19250"/>
    <n v="29.73"/>
    <n v="1"/>
    <n v="2"/>
    <n v="2"/>
    <n v="1"/>
    <s v="Non-Critical"/>
  </r>
  <r>
    <s v="P981"/>
    <s v="Uniforms"/>
    <s v="North America"/>
    <x v="33"/>
    <n v="69"/>
    <n v="11507"/>
    <n v="33.47"/>
    <n v="2"/>
    <n v="2"/>
    <n v="1"/>
    <n v="1"/>
    <s v="Non-Critical"/>
  </r>
  <r>
    <s v="P982"/>
    <s v="Uniforms"/>
    <s v="North America"/>
    <x v="33"/>
    <n v="55"/>
    <n v="10130"/>
    <n v="33.630000000000003"/>
    <n v="1"/>
    <n v="2"/>
    <n v="2"/>
    <n v="1"/>
    <s v="Non-Critical"/>
  </r>
  <r>
    <s v="P983"/>
    <s v="Cleaning Supplies"/>
    <s v="Asia"/>
    <x v="12"/>
    <n v="29"/>
    <n v="15055"/>
    <n v="29.48"/>
    <n v="2"/>
    <n v="2"/>
    <n v="1"/>
    <n v="1"/>
    <s v="Non-Critical"/>
  </r>
  <r>
    <s v="P984"/>
    <s v="Office Stationery"/>
    <s v="Europe"/>
    <x v="35"/>
    <n v="64"/>
    <n v="13480"/>
    <n v="14.79"/>
    <n v="1"/>
    <n v="2"/>
    <n v="2"/>
    <n v="1"/>
    <s v="Non-Critical"/>
  </r>
  <r>
    <s v="P985"/>
    <s v="Office Stationery"/>
    <s v="Europe"/>
    <x v="35"/>
    <n v="21"/>
    <n v="6195"/>
    <n v="30.81"/>
    <n v="3"/>
    <n v="2"/>
    <n v="2"/>
    <n v="1"/>
    <s v="Non-Critical"/>
  </r>
  <r>
    <s v="P986"/>
    <s v="Printer Ink"/>
    <s v="North America"/>
    <x v="34"/>
    <n v="69"/>
    <n v="15313"/>
    <n v="19.690000000000001"/>
    <n v="3"/>
    <n v="2"/>
    <n v="1"/>
    <n v="1"/>
    <s v="Non-Critical"/>
  </r>
  <r>
    <s v="P987"/>
    <s v="Office Stationery"/>
    <s v="Europe"/>
    <x v="35"/>
    <n v="87"/>
    <n v="7431"/>
    <n v="17.309999999999999"/>
    <n v="1"/>
    <n v="1"/>
    <n v="1"/>
    <n v="1"/>
    <s v="Non-Critical"/>
  </r>
  <r>
    <s v="P988"/>
    <s v="Printer Ink"/>
    <s v="North America"/>
    <x v="34"/>
    <n v="17"/>
    <n v="9814"/>
    <n v="40.6"/>
    <n v="2"/>
    <n v="1"/>
    <n v="1"/>
    <n v="1"/>
    <s v="Non-Critical"/>
  </r>
  <r>
    <s v="P989"/>
    <s v="Printer Ink"/>
    <s v="North America"/>
    <x v="34"/>
    <n v="50"/>
    <n v="19746"/>
    <n v="11.52"/>
    <n v="1"/>
    <n v="1"/>
    <n v="2"/>
    <n v="1"/>
    <s v="Non-Critical"/>
  </r>
  <r>
    <s v="P990"/>
    <s v="Cleaning Supplies"/>
    <s v="Asia"/>
    <x v="12"/>
    <n v="82"/>
    <n v="12377"/>
    <n v="43.42"/>
    <n v="1"/>
    <n v="1"/>
    <n v="1"/>
    <n v="1"/>
    <s v="Non-Critical"/>
  </r>
  <r>
    <s v="P991"/>
    <s v="Office Stationery"/>
    <s v="Europe"/>
    <x v="35"/>
    <n v="16"/>
    <n v="16317"/>
    <n v="49.85"/>
    <n v="3"/>
    <n v="2"/>
    <n v="2"/>
    <n v="1"/>
    <s v="Non-Critical"/>
  </r>
  <r>
    <s v="P992"/>
    <s v="Cleaning Supplies"/>
    <s v="Asia"/>
    <x v="12"/>
    <n v="85"/>
    <n v="6181"/>
    <n v="26.64"/>
    <n v="2"/>
    <n v="2"/>
    <n v="1"/>
    <n v="1"/>
    <s v="Non-Critical"/>
  </r>
  <r>
    <s v="P993"/>
    <s v="Office Stationery"/>
    <s v="Europe"/>
    <x v="35"/>
    <n v="69"/>
    <n v="6774"/>
    <n v="46.32"/>
    <n v="1"/>
    <n v="2"/>
    <n v="1"/>
    <n v="1"/>
    <s v="Non-Critical"/>
  </r>
  <r>
    <s v="P994"/>
    <s v="Office Stationery"/>
    <s v="Europe"/>
    <x v="35"/>
    <n v="22"/>
    <n v="19231"/>
    <n v="31.36"/>
    <n v="1"/>
    <n v="1"/>
    <n v="1"/>
    <n v="1"/>
    <s v="Non-Critical"/>
  </r>
  <r>
    <s v="P995"/>
    <s v="Cleaning Supplies"/>
    <s v="Asia"/>
    <x v="12"/>
    <n v="36"/>
    <n v="7922"/>
    <n v="22.98"/>
    <n v="1"/>
    <n v="1"/>
    <n v="2"/>
    <n v="1"/>
    <s v="Non-Critical"/>
  </r>
  <r>
    <s v="P996"/>
    <s v="Printer Ink"/>
    <s v="North America"/>
    <x v="34"/>
    <n v="19"/>
    <n v="19648"/>
    <n v="10.199999999999999"/>
    <n v="2"/>
    <n v="1"/>
    <n v="1"/>
    <n v="1"/>
    <s v="Non-Critical"/>
  </r>
  <r>
    <s v="P997"/>
    <s v="Cleaning Supplies"/>
    <s v="Asia"/>
    <x v="12"/>
    <n v="21"/>
    <n v="19143"/>
    <n v="15.3"/>
    <n v="1"/>
    <n v="2"/>
    <n v="1"/>
    <n v="1"/>
    <s v="Non-Critical"/>
  </r>
  <r>
    <s v="P998"/>
    <s v="Uniforms"/>
    <s v="North America"/>
    <x v="33"/>
    <n v="70"/>
    <n v="5352"/>
    <n v="30.23"/>
    <n v="1"/>
    <n v="3"/>
    <n v="2"/>
    <n v="1"/>
    <s v="Non-Critical"/>
  </r>
  <r>
    <s v="P999"/>
    <s v="Printer Ink"/>
    <s v="North America"/>
    <x v="34"/>
    <n v="44"/>
    <n v="18070"/>
    <n v="30.73"/>
    <n v="1"/>
    <n v="1"/>
    <n v="2"/>
    <n v="1"/>
    <s v="Non-Critic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E6307F-254F-C94C-80C0-0FACA527980A}" name="Aggregation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upplier_ID">
  <location ref="A3:I40" firstHeaderRow="0" firstDataRow="1" firstDataCol="1"/>
  <pivotFields count="12">
    <pivotField showAll="0"/>
    <pivotField showAll="0"/>
    <pivotField showAll="0"/>
    <pivotField axis="axisRow" showAll="0">
      <items count="37">
        <item x="10"/>
        <item x="3"/>
        <item x="5"/>
        <item x="20"/>
        <item x="17"/>
        <item x="12"/>
        <item x="13"/>
        <item x="19"/>
        <item x="8"/>
        <item x="2"/>
        <item x="4"/>
        <item x="35"/>
        <item x="23"/>
        <item x="25"/>
        <item x="29"/>
        <item x="7"/>
        <item x="1"/>
        <item x="9"/>
        <item x="34"/>
        <item x="26"/>
        <item x="30"/>
        <item x="22"/>
        <item x="15"/>
        <item x="14"/>
        <item x="6"/>
        <item x="11"/>
        <item x="0"/>
        <item x="18"/>
        <item x="16"/>
        <item x="32"/>
        <item x="28"/>
        <item x="21"/>
        <item x="27"/>
        <item x="24"/>
        <item x="31"/>
        <item x="33"/>
        <item t="default"/>
      </items>
    </pivotField>
    <pivotField dataField="1" numFmtId="1" showAll="0"/>
    <pivotField dataField="1" numFmtId="2" showAll="0"/>
    <pivotField dataField="1" numFmtId="2" showAll="0"/>
    <pivotField dataField="1" numFmtId="1" showAll="0"/>
    <pivotField dataField="1" numFmtId="1" showAll="0"/>
    <pivotField dataField="1" numFmtId="1" showAll="0"/>
    <pivotField dataField="1" numFmtId="1" showAll="0"/>
    <pivotField showAll="0"/>
  </pivotFields>
  <rowFields count="1">
    <field x="3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Avg_Cost" fld="6" subtotal="average" baseField="0" baseItem="0"/>
    <dataField name="Avg_Lead_TIme" fld="4" subtotal="average" baseField="0" baseItem="0"/>
    <dataField name="Lead_Time_Variability" fld="4" subtotal="stdDevp" baseField="0" baseItem="0"/>
    <dataField name="Total_Order_Volume" fld="5" baseField="0" baseItem="0"/>
    <dataField name="Avg_Supply_Risk" fld="7" subtotal="average" baseField="0" baseItem="0"/>
    <dataField name="Avg_Profit_Impact" fld="8" subtotal="average" baseField="0" baseItem="0"/>
    <dataField name="Avg_Environmental_Impact" fld="9" subtotal="average" baseField="0" baseItem="0"/>
    <dataField name="Single_Source_Risk_Flag" fld="10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033EF5-C846-9944-BB85-26D490B8ECCB}" name="Table1" displayName="Table1" ref="A1:M37" totalsRowShown="0" headerRowDxfId="40">
  <autoFilter ref="A1:M37" xr:uid="{C5033EF5-C846-9944-BB85-26D490B8ECCB}"/>
  <tableColumns count="13">
    <tableColumn id="1" xr3:uid="{007DCC0A-32BD-3A42-8CBF-315DA99EBA18}" name="Supplier_ID"/>
    <tableColumn id="2" xr3:uid="{4F039FB0-F47E-5F4E-97A5-8BA0953F80D7}" name="Product"/>
    <tableColumn id="3" xr3:uid="{96F5F426-2096-C24B-9961-A68974F4308F}" name="Region"/>
    <tableColumn id="4" xr3:uid="{5ABC3C58-A1C2-6049-BA9A-A7DFD1EFFCA6}" name="Cost_score" dataDxfId="39"/>
    <tableColumn id="5" xr3:uid="{9635593F-6C79-1044-865A-FB6C2E3C751E}" name="Lead_Time_Score" dataDxfId="38"/>
    <tableColumn id="6" xr3:uid="{32F64703-3CF6-4C45-AA1F-F4F517D4EB9C}" name="Volume_Score" dataDxfId="37"/>
    <tableColumn id="7" xr3:uid="{51F27037-1FDE-4944-958C-596193CE18C9}" name="Supply_Score" dataDxfId="36"/>
    <tableColumn id="8" xr3:uid="{573B39B7-7601-084D-A51C-E77657BD3B36}" name="Profit_Score" dataDxfId="35"/>
    <tableColumn id="9" xr3:uid="{7025D4BC-67E9-3648-8033-465E7C2F7C80}" name="Environ_Score" dataDxfId="34"/>
    <tableColumn id="10" xr3:uid="{D2C62659-471D-824F-8C58-A58BBEEA1226}" name="Single_Source_Risk_Flag" dataDxfId="33"/>
    <tableColumn id="11" xr3:uid="{5B139B18-6973-734F-9C08-9EF6BEDC1994}" name="Final_Weighted_Score" dataDxfId="32">
      <calculatedColumnFormula>SUMPRODUCT(D2:J2,$P$7:$V$7)</calculatedColumnFormula>
    </tableColumn>
    <tableColumn id="12" xr3:uid="{977D1271-D003-A747-8CF7-B08BB0A3AC19}" name="Total_Order_Volume"/>
    <tableColumn id="13" xr3:uid="{F6A365E2-3814-E54C-B48C-8834B255773F}" name="Product_Level_Score" dataDxfId="31">
      <calculatedColumnFormula array="1">SUMPRODUCT(($B$2:$B$37 = B2) *$L$2:$L$37 * $K$2:$K$37)/ SUMIFS($L$2:$L$37, $B$2:$B$37, B2)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8E94E5-837E-C74F-AEE6-25C7D2C8588A}" name="Table2" displayName="Table2" ref="A1:N37" totalsRowShown="0" headerRowDxfId="30">
  <autoFilter ref="A1:N37" xr:uid="{228E94E5-837E-C74F-AEE6-25C7D2C8588A}"/>
  <tableColumns count="14">
    <tableColumn id="1" xr3:uid="{17747AE8-2005-EA4C-8CEA-00DEDD73831D}" name="Supplier_ID"/>
    <tableColumn id="2" xr3:uid="{1215948A-99DA-E748-8528-C120C7780913}" name="Product"/>
    <tableColumn id="3" xr3:uid="{98EAA066-4322-5B40-A518-63368739D208}" name="Region"/>
    <tableColumn id="4" xr3:uid="{A4E61A6A-0BDD-ED4A-9B41-F21563602A00}" name="Cost_score" dataDxfId="29"/>
    <tableColumn id="5" xr3:uid="{6840282E-437F-DD41-B0A9-13F90B30125A}" name="Lead_Time_Score" dataDxfId="28"/>
    <tableColumn id="6" xr3:uid="{5DD0FEC7-B17B-0941-8CC9-466F5F6ADF14}" name="Volume_Score" dataDxfId="27"/>
    <tableColumn id="7" xr3:uid="{131CDAB4-00AC-FC44-9EBE-A3C462144CD1}" name="Supply_Score" dataDxfId="26"/>
    <tableColumn id="8" xr3:uid="{3D8B98E5-9D5D-9B4A-BB6B-20AEC3881387}" name="Profit_Score" dataDxfId="25"/>
    <tableColumn id="9" xr3:uid="{0EE7ED4A-1A40-5949-986A-2FD2E142CA05}" name="Environ_Score" dataDxfId="24"/>
    <tableColumn id="10" xr3:uid="{45E301D4-6D45-7848-9B3C-D6FA20CC4F47}" name="Single_Source_Risk_Flag" dataDxfId="23"/>
    <tableColumn id="11" xr3:uid="{E452DFD9-7B18-2B4B-BBB1-A92A0C5E1B7A}" name="Profit_Impact_Index" dataDxfId="22">
      <calculatedColumnFormula>0.5*H2+0.3*F2+0.2*D2</calculatedColumnFormula>
    </tableColumn>
    <tableColumn id="12" xr3:uid="{EC083ACF-04E6-EA4E-A308-49EE28E4DF7F}" name="Supply_Risk_Index" dataDxfId="21">
      <calculatedColumnFormula>0.4*G2+0.4*E2+0.2*J2</calculatedColumnFormula>
    </tableColumn>
    <tableColumn id="13" xr3:uid="{E3954ECF-A59B-1D4F-928E-788905C62E1E}" name="Kraljic_Category">
      <calculatedColumnFormula>IF( AND(K2&gt;=$Q$3, L2&gt;=$R$3),  "Strategic",
  IF( AND(K2&gt;=$Q$3, L2&lt;$R$3),  "Leverage",
   IF(AND(K2&lt;$Q$3, L2&gt;=$R$3), "Bottleneck",
      "Non-Critical")))</calculatedColumnFormula>
    </tableColumn>
    <tableColumn id="14" xr3:uid="{33978F14-FC12-904D-A93A-A687C7EA7342}" name="Total_Order_Volume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0E255-AE60-6843-BF27-0CF553396458}">
  <sheetPr>
    <tabColor rgb="FF92D050"/>
  </sheetPr>
  <dimension ref="K21:Q38"/>
  <sheetViews>
    <sheetView showGridLines="0" zoomScale="94" workbookViewId="0">
      <selection activeCell="S24" sqref="S24"/>
    </sheetView>
  </sheetViews>
  <sheetFormatPr baseColWidth="10" defaultRowHeight="16" x14ac:dyDescent="0.2"/>
  <cols>
    <col min="11" max="11" width="16.5" bestFit="1" customWidth="1"/>
    <col min="15" max="16" width="12.83203125" bestFit="1" customWidth="1"/>
    <col min="17" max="17" width="12.33203125" bestFit="1" customWidth="1"/>
  </cols>
  <sheetData>
    <row r="21" spans="11:17" x14ac:dyDescent="0.2">
      <c r="K21" s="26"/>
      <c r="L21" s="28"/>
      <c r="M21" s="28"/>
      <c r="N21" s="28"/>
      <c r="O21" s="28"/>
      <c r="P21" s="28"/>
      <c r="Q21" s="28"/>
    </row>
    <row r="22" spans="11:17" x14ac:dyDescent="0.2">
      <c r="K22" s="29"/>
      <c r="L22" s="27"/>
      <c r="M22" s="27"/>
      <c r="N22" s="27"/>
      <c r="O22" s="27"/>
      <c r="P22" s="27"/>
      <c r="Q22" s="30"/>
    </row>
    <row r="23" spans="11:17" x14ac:dyDescent="0.2">
      <c r="K23" s="29"/>
      <c r="L23" s="27"/>
      <c r="M23" s="27"/>
      <c r="N23" s="27"/>
      <c r="O23" s="27"/>
      <c r="P23" s="27"/>
      <c r="Q23" s="30"/>
    </row>
    <row r="24" spans="11:17" x14ac:dyDescent="0.2">
      <c r="K24" s="29"/>
      <c r="L24" s="27"/>
      <c r="M24" s="27"/>
      <c r="N24" s="27"/>
      <c r="O24" s="27"/>
      <c r="P24" s="27"/>
      <c r="Q24" s="30"/>
    </row>
    <row r="25" spans="11:17" x14ac:dyDescent="0.2">
      <c r="K25" s="29"/>
      <c r="L25" s="27"/>
      <c r="M25" s="27"/>
      <c r="N25" s="27"/>
      <c r="O25" s="27"/>
      <c r="P25" s="27"/>
      <c r="Q25" s="30"/>
    </row>
    <row r="26" spans="11:17" x14ac:dyDescent="0.2">
      <c r="K26" s="29"/>
      <c r="L26" s="27"/>
      <c r="M26" s="27"/>
      <c r="N26" s="27"/>
      <c r="O26" s="27"/>
      <c r="P26" s="27"/>
      <c r="Q26" s="30"/>
    </row>
    <row r="27" spans="11:17" x14ac:dyDescent="0.2">
      <c r="K27" s="29"/>
      <c r="L27" s="27"/>
      <c r="M27" s="27"/>
      <c r="N27" s="27"/>
      <c r="O27" s="27"/>
      <c r="P27" s="27"/>
      <c r="Q27" s="30"/>
    </row>
    <row r="28" spans="11:17" x14ac:dyDescent="0.2">
      <c r="K28" s="29"/>
      <c r="L28" s="27"/>
      <c r="M28" s="27"/>
      <c r="N28" s="27"/>
      <c r="O28" s="27"/>
      <c r="P28" s="27"/>
      <c r="Q28" s="30"/>
    </row>
    <row r="29" spans="11:17" x14ac:dyDescent="0.2">
      <c r="K29" s="29"/>
      <c r="L29" s="27"/>
      <c r="M29" s="27"/>
      <c r="N29" s="27"/>
      <c r="O29" s="27"/>
      <c r="P29" s="27"/>
      <c r="Q29" s="30"/>
    </row>
    <row r="30" spans="11:17" x14ac:dyDescent="0.2">
      <c r="K30" s="29"/>
      <c r="L30" s="27"/>
      <c r="M30" s="27"/>
      <c r="N30" s="27"/>
      <c r="O30" s="27"/>
      <c r="P30" s="27"/>
      <c r="Q30" s="30"/>
    </row>
    <row r="31" spans="11:17" x14ac:dyDescent="0.2">
      <c r="K31" s="29"/>
      <c r="L31" s="27"/>
      <c r="M31" s="27"/>
      <c r="N31" s="27"/>
      <c r="O31" s="27"/>
      <c r="P31" s="27"/>
      <c r="Q31" s="30"/>
    </row>
    <row r="32" spans="11:17" x14ac:dyDescent="0.2">
      <c r="K32" s="29"/>
      <c r="L32" s="27"/>
      <c r="M32" s="27"/>
      <c r="N32" s="27"/>
      <c r="O32" s="27"/>
      <c r="P32" s="27"/>
      <c r="Q32" s="30"/>
    </row>
    <row r="33" spans="11:17" x14ac:dyDescent="0.2">
      <c r="K33" s="29"/>
      <c r="L33" s="27"/>
      <c r="M33" s="27"/>
      <c r="N33" s="27"/>
      <c r="O33" s="27"/>
      <c r="P33" s="27"/>
      <c r="Q33" s="30"/>
    </row>
    <row r="34" spans="11:17" x14ac:dyDescent="0.2">
      <c r="K34" s="29"/>
      <c r="L34" s="27"/>
      <c r="M34" s="27"/>
      <c r="N34" s="27"/>
      <c r="O34" s="27"/>
      <c r="P34" s="27"/>
      <c r="Q34" s="30"/>
    </row>
    <row r="35" spans="11:17" x14ac:dyDescent="0.2">
      <c r="K35" s="29"/>
      <c r="L35" s="27"/>
      <c r="M35" s="27"/>
      <c r="N35" s="27"/>
      <c r="O35" s="27"/>
      <c r="P35" s="27"/>
      <c r="Q35" s="30"/>
    </row>
    <row r="36" spans="11:17" x14ac:dyDescent="0.2">
      <c r="K36" s="29"/>
      <c r="L36" s="27"/>
      <c r="M36" s="27"/>
      <c r="N36" s="27"/>
      <c r="O36" s="27"/>
      <c r="P36" s="27"/>
      <c r="Q36" s="30"/>
    </row>
    <row r="37" spans="11:17" x14ac:dyDescent="0.2">
      <c r="K37" s="29"/>
      <c r="L37" s="27"/>
      <c r="M37" s="27"/>
      <c r="N37" s="27"/>
      <c r="O37" s="27"/>
      <c r="P37" s="27"/>
      <c r="Q37" s="30"/>
    </row>
    <row r="38" spans="11:17" x14ac:dyDescent="0.2">
      <c r="Q38" s="31"/>
    </row>
  </sheetData>
  <conditionalFormatting sqref="L22:P37">
    <cfRule type="expression" dxfId="4" priority="1">
      <formula>L22&gt;$Q22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97858-9D9C-4147-8676-4D498F038E5E}">
  <sheetPr>
    <tabColor rgb="FF00B0F0"/>
  </sheetPr>
  <dimension ref="A1:V39"/>
  <sheetViews>
    <sheetView tabSelected="1" topLeftCell="A13" zoomScale="91" workbookViewId="0">
      <selection activeCell="H44" sqref="H44"/>
    </sheetView>
  </sheetViews>
  <sheetFormatPr baseColWidth="10" defaultRowHeight="16" x14ac:dyDescent="0.2"/>
  <cols>
    <col min="1" max="1" width="29.33203125" bestFit="1" customWidth="1"/>
    <col min="2" max="2" width="16.5" bestFit="1" customWidth="1"/>
    <col min="3" max="3" width="16.5" customWidth="1"/>
    <col min="4" max="4" width="13" customWidth="1"/>
    <col min="5" max="5" width="17.83203125" customWidth="1"/>
    <col min="6" max="6" width="15.33203125" customWidth="1"/>
    <col min="7" max="7" width="14.33203125" customWidth="1"/>
    <col min="8" max="8" width="13.6640625" customWidth="1"/>
    <col min="9" max="9" width="15" customWidth="1"/>
    <col min="10" max="10" width="23.83203125" customWidth="1"/>
    <col min="11" max="11" width="21.6640625" customWidth="1"/>
    <col min="12" max="12" width="20.1640625" customWidth="1"/>
    <col min="13" max="13" width="20.6640625" customWidth="1"/>
    <col min="16" max="16" width="16.5" bestFit="1" customWidth="1"/>
    <col min="17" max="17" width="27.83203125" bestFit="1" customWidth="1"/>
    <col min="18" max="18" width="4.83203125" bestFit="1" customWidth="1"/>
    <col min="19" max="19" width="6.83203125" bestFit="1" customWidth="1"/>
    <col min="20" max="21" width="13.1640625" bestFit="1" customWidth="1"/>
    <col min="22" max="22" width="12.1640625" bestFit="1" customWidth="1"/>
    <col min="23" max="23" width="25.6640625" bestFit="1" customWidth="1"/>
    <col min="24" max="24" width="24.6640625" bestFit="1" customWidth="1"/>
    <col min="25" max="25" width="25.6640625" bestFit="1" customWidth="1"/>
    <col min="26" max="26" width="24.6640625" bestFit="1" customWidth="1"/>
    <col min="27" max="27" width="30.1640625" bestFit="1" customWidth="1"/>
    <col min="28" max="28" width="29.1640625" bestFit="1" customWidth="1"/>
    <col min="29" max="45" width="12.1640625" bestFit="1" customWidth="1"/>
    <col min="46" max="46" width="14.83203125" bestFit="1" customWidth="1"/>
    <col min="47" max="51" width="12.1640625" bestFit="1" customWidth="1"/>
    <col min="52" max="52" width="17.6640625" bestFit="1" customWidth="1"/>
    <col min="53" max="53" width="14.83203125" bestFit="1" customWidth="1"/>
    <col min="54" max="56" width="12.1640625" bestFit="1" customWidth="1"/>
    <col min="57" max="57" width="17.6640625" bestFit="1" customWidth="1"/>
    <col min="58" max="58" width="12.1640625" bestFit="1" customWidth="1"/>
  </cols>
  <sheetData>
    <row r="1" spans="1:22" x14ac:dyDescent="0.2">
      <c r="A1" s="6" t="s">
        <v>1035</v>
      </c>
      <c r="B1" s="6" t="s">
        <v>1082</v>
      </c>
      <c r="C1" s="6" t="s">
        <v>1084</v>
      </c>
      <c r="D1" s="6" t="s">
        <v>1089</v>
      </c>
      <c r="E1" s="6" t="s">
        <v>1077</v>
      </c>
      <c r="F1" s="6" t="s">
        <v>1090</v>
      </c>
      <c r="G1" s="6" t="s">
        <v>1078</v>
      </c>
      <c r="H1" s="6" t="s">
        <v>1079</v>
      </c>
      <c r="I1" s="6" t="s">
        <v>1091</v>
      </c>
      <c r="J1" s="6" t="s">
        <v>1076</v>
      </c>
      <c r="K1" s="6" t="s">
        <v>1080</v>
      </c>
      <c r="L1" s="6" t="s">
        <v>1072</v>
      </c>
      <c r="M1" s="6" t="s">
        <v>1083</v>
      </c>
    </row>
    <row r="2" spans="1:22" x14ac:dyDescent="0.2">
      <c r="A2" t="s">
        <v>1046</v>
      </c>
      <c r="B2" t="s">
        <v>23</v>
      </c>
      <c r="C2" t="s">
        <v>28</v>
      </c>
      <c r="D2" s="1">
        <v>0.16858481184594554</v>
      </c>
      <c r="E2" s="1">
        <v>1</v>
      </c>
      <c r="F2" s="1">
        <v>8.8995015491318885E-2</v>
      </c>
      <c r="G2" s="1">
        <v>0.125</v>
      </c>
      <c r="H2" s="11">
        <v>0.86</v>
      </c>
      <c r="I2" s="1">
        <v>7.8125E-2</v>
      </c>
      <c r="J2" s="3">
        <v>0</v>
      </c>
      <c r="K2" s="1">
        <f>SUMPRODUCT(D2:J2,$P$7:$V$7)</f>
        <v>0.35262871469288692</v>
      </c>
      <c r="L2">
        <v>8725</v>
      </c>
      <c r="M2" s="1" cm="1">
        <f t="array" ref="M2">SUMPRODUCT(($B$2:$B$37 = B2) *$L$2:$L$37 * $K$2:$K$37)/ SUMIFS($L$2:$L$37, $B$2:$B$37, B2)</f>
        <v>0.28899519268163765</v>
      </c>
    </row>
    <row r="3" spans="1:22" x14ac:dyDescent="0.2">
      <c r="A3" t="s">
        <v>1039</v>
      </c>
      <c r="B3" t="s">
        <v>23</v>
      </c>
      <c r="C3" t="s">
        <v>18</v>
      </c>
      <c r="D3" s="1">
        <v>0.11141807910199497</v>
      </c>
      <c r="E3" s="1">
        <v>0.32843259406927483</v>
      </c>
      <c r="F3" s="1">
        <v>0.13327597826871537</v>
      </c>
      <c r="G3" s="1">
        <v>0.1875</v>
      </c>
      <c r="H3" s="11">
        <v>0.84</v>
      </c>
      <c r="I3" s="1">
        <v>8.3333333333333259E-2</v>
      </c>
      <c r="J3" s="3">
        <v>0</v>
      </c>
      <c r="K3" s="1">
        <f t="shared" ref="K3:K37" si="0">SUMPRODUCT(D3:J3,$P$7:$V$7)</f>
        <v>0.25399823500443086</v>
      </c>
      <c r="L3">
        <v>10964</v>
      </c>
      <c r="M3" s="1" cm="1">
        <f t="array" ref="M3">SUMPRODUCT(($B$2:$B$37 = B3) *$L$2:$L$37 * $K$2:$K$37)/ SUMIFS($L$2:$L$37, $B$2:$B$37, B3)</f>
        <v>0.28899519268163765</v>
      </c>
    </row>
    <row r="4" spans="1:22" x14ac:dyDescent="0.2">
      <c r="A4" t="s">
        <v>1041</v>
      </c>
      <c r="B4" t="s">
        <v>23</v>
      </c>
      <c r="C4" t="s">
        <v>13</v>
      </c>
      <c r="D4" s="1">
        <v>3.7072155938795537E-2</v>
      </c>
      <c r="E4" s="1">
        <v>0.57859017018220205</v>
      </c>
      <c r="F4" s="1">
        <v>6.5070585152704252E-2</v>
      </c>
      <c r="G4" s="1">
        <v>0.14705882352941169</v>
      </c>
      <c r="H4" s="11">
        <v>0.85</v>
      </c>
      <c r="I4" s="1">
        <v>0.13235294117647056</v>
      </c>
      <c r="J4" s="3">
        <v>0</v>
      </c>
      <c r="K4" s="1">
        <f t="shared" si="0"/>
        <v>0.26675766213505386</v>
      </c>
      <c r="L4">
        <v>7712</v>
      </c>
      <c r="M4" s="1" cm="1">
        <f t="array" ref="M4">SUMPRODUCT(($B$2:$B$37 = B4) *$L$2:$L$37 * $K$2:$K$37)/ SUMIFS($L$2:$L$37, $B$2:$B$37, B4)</f>
        <v>0.28899519268163765</v>
      </c>
      <c r="P4" s="7"/>
      <c r="Q4" s="7"/>
      <c r="R4" s="7"/>
      <c r="S4" s="7"/>
      <c r="T4" s="7"/>
      <c r="U4" s="7"/>
    </row>
    <row r="5" spans="1:22" x14ac:dyDescent="0.2">
      <c r="A5" t="s">
        <v>1055</v>
      </c>
      <c r="B5" t="s">
        <v>285</v>
      </c>
      <c r="C5" t="s">
        <v>18</v>
      </c>
      <c r="D5" s="1">
        <v>0.54444249827168112</v>
      </c>
      <c r="E5" s="1">
        <v>5.6316969847994058E-2</v>
      </c>
      <c r="F5" s="1">
        <v>3.6319939740127136E-2</v>
      </c>
      <c r="G5" s="1">
        <v>0.1875</v>
      </c>
      <c r="H5" s="11">
        <v>0.2</v>
      </c>
      <c r="I5" s="1">
        <v>0.375</v>
      </c>
      <c r="J5" s="3">
        <v>0</v>
      </c>
      <c r="K5" s="1">
        <f t="shared" si="0"/>
        <v>0.21840903609255441</v>
      </c>
      <c r="L5">
        <v>6649</v>
      </c>
      <c r="M5" s="1" cm="1">
        <f t="array" ref="M5">SUMPRODUCT(($B$2:$B$37 = B5) *$L$2:$L$37 * $K$2:$K$37)/ SUMIFS($L$2:$L$37, $B$2:$B$37, B5)</f>
        <v>0.25886012001624348</v>
      </c>
      <c r="P5" s="24" t="s">
        <v>1081</v>
      </c>
      <c r="Q5" s="24"/>
      <c r="R5" s="24"/>
      <c r="S5" s="24"/>
      <c r="T5" s="24"/>
      <c r="U5" s="24"/>
      <c r="V5" s="8"/>
    </row>
    <row r="6" spans="1:22" x14ac:dyDescent="0.2">
      <c r="A6" t="s">
        <v>1052</v>
      </c>
      <c r="B6" t="s">
        <v>285</v>
      </c>
      <c r="C6" t="s">
        <v>274</v>
      </c>
      <c r="D6" s="1">
        <v>0.52294812405911983</v>
      </c>
      <c r="E6" s="1">
        <v>0.45576875155743823</v>
      </c>
      <c r="F6" s="1">
        <v>0.12457926156637372</v>
      </c>
      <c r="G6" s="1">
        <v>0.1875</v>
      </c>
      <c r="H6" s="11">
        <v>0.14000000000000001</v>
      </c>
      <c r="I6" s="1">
        <v>0.4375</v>
      </c>
      <c r="J6" s="3">
        <v>0</v>
      </c>
      <c r="K6" s="1">
        <f t="shared" si="0"/>
        <v>0.28451682678039575</v>
      </c>
      <c r="L6">
        <v>10483</v>
      </c>
      <c r="M6" s="1" cm="1">
        <f t="array" ref="M6">SUMPRODUCT(($B$2:$B$37 = B6) *$L$2:$L$37 * $K$2:$K$37)/ SUMIFS($L$2:$L$37, $B$2:$B$37, B6)</f>
        <v>0.25886012001624348</v>
      </c>
      <c r="P6" s="9" t="s">
        <v>1102</v>
      </c>
      <c r="Q6" s="9" t="s">
        <v>1103</v>
      </c>
      <c r="R6" s="9" t="s">
        <v>1104</v>
      </c>
      <c r="S6" s="9" t="s">
        <v>1105</v>
      </c>
      <c r="T6" s="9" t="s">
        <v>1106</v>
      </c>
      <c r="U6" s="9" t="s">
        <v>1107</v>
      </c>
      <c r="V6" s="9" t="s">
        <v>1110</v>
      </c>
    </row>
    <row r="7" spans="1:22" x14ac:dyDescent="0.2">
      <c r="A7" t="s">
        <v>1085</v>
      </c>
      <c r="B7" t="s">
        <v>782</v>
      </c>
      <c r="C7" t="s">
        <v>18</v>
      </c>
      <c r="D7" s="1">
        <v>1</v>
      </c>
      <c r="E7" s="1">
        <v>0.39970097184151498</v>
      </c>
      <c r="F7" s="1">
        <v>1</v>
      </c>
      <c r="G7" s="1">
        <v>0.85714285714285721</v>
      </c>
      <c r="H7" s="11">
        <v>0.16</v>
      </c>
      <c r="I7" s="1">
        <v>0.87142857142857144</v>
      </c>
      <c r="J7" s="3">
        <v>1</v>
      </c>
      <c r="K7" s="1">
        <f t="shared" si="0"/>
        <v>0.74966943149051302</v>
      </c>
      <c r="L7">
        <v>958759</v>
      </c>
      <c r="M7" s="1" cm="1">
        <f t="array" ref="M7">SUMPRODUCT(($B$2:$B$37 = B7) *$L$2:$L$37 * $K$2:$K$37)/ SUMIFS($L$2:$L$37, $B$2:$B$37, B7)</f>
        <v>0.74966943149051302</v>
      </c>
      <c r="P7" s="16">
        <v>0.2</v>
      </c>
      <c r="Q7" s="16">
        <v>0.15</v>
      </c>
      <c r="R7" s="16">
        <v>0.15</v>
      </c>
      <c r="S7" s="16">
        <v>0.15</v>
      </c>
      <c r="T7" s="16">
        <v>0.15</v>
      </c>
      <c r="U7" s="16">
        <v>0.1</v>
      </c>
      <c r="V7" s="19">
        <v>0.1</v>
      </c>
    </row>
    <row r="8" spans="1:22" x14ac:dyDescent="0.2">
      <c r="A8" t="s">
        <v>1048</v>
      </c>
      <c r="B8" t="s">
        <v>270</v>
      </c>
      <c r="C8" t="s">
        <v>18</v>
      </c>
      <c r="D8" s="1">
        <v>0.49174319353229856</v>
      </c>
      <c r="E8" s="1">
        <v>0.55818589583852463</v>
      </c>
      <c r="F8" s="1">
        <v>0</v>
      </c>
      <c r="G8" s="1">
        <v>0.22619047619047628</v>
      </c>
      <c r="H8" s="11">
        <v>0.18</v>
      </c>
      <c r="I8" s="1">
        <v>0.3571428571428571</v>
      </c>
      <c r="J8" s="3">
        <v>0</v>
      </c>
      <c r="K8" s="1">
        <f t="shared" si="0"/>
        <v>0.27871938022509557</v>
      </c>
      <c r="L8">
        <v>5513</v>
      </c>
      <c r="M8" s="1" cm="1">
        <f t="array" ref="M8">SUMPRODUCT(($B$2:$B$37 = B8) *$L$2:$L$37 * $K$2:$K$37)/ SUMIFS($L$2:$L$37, $B$2:$B$37, B8)</f>
        <v>0.28349356458384745</v>
      </c>
    </row>
    <row r="9" spans="1:22" x14ac:dyDescent="0.2">
      <c r="A9" t="s">
        <v>1054</v>
      </c>
      <c r="B9" t="s">
        <v>270</v>
      </c>
      <c r="C9" t="s">
        <v>274</v>
      </c>
      <c r="D9" s="1">
        <v>0.48879332937773678</v>
      </c>
      <c r="E9" s="1">
        <v>0.60690989577989174</v>
      </c>
      <c r="F9" s="1">
        <v>8.4636045654242001E-2</v>
      </c>
      <c r="G9" s="1">
        <v>0.14705882352941169</v>
      </c>
      <c r="H9" s="11">
        <v>0.18</v>
      </c>
      <c r="I9" s="1">
        <v>0.36029411764705888</v>
      </c>
      <c r="J9" s="3">
        <v>0</v>
      </c>
      <c r="K9" s="1">
        <f t="shared" si="0"/>
        <v>0.28657879238478506</v>
      </c>
      <c r="L9">
        <v>8531</v>
      </c>
      <c r="M9" s="1" cm="1">
        <f t="array" ref="M9">SUMPRODUCT(($B$2:$B$37 = B9) *$L$2:$L$37 * $K$2:$K$37)/ SUMIFS($L$2:$L$37, $B$2:$B$37, B9)</f>
        <v>0.28349356458384745</v>
      </c>
    </row>
    <row r="10" spans="1:22" x14ac:dyDescent="0.2">
      <c r="A10" t="s">
        <v>1044</v>
      </c>
      <c r="B10" t="s">
        <v>21</v>
      </c>
      <c r="C10" t="s">
        <v>28</v>
      </c>
      <c r="D10" s="1">
        <v>9.0678492295102053E-2</v>
      </c>
      <c r="E10" s="1">
        <v>0.74358335409917764</v>
      </c>
      <c r="F10" s="1">
        <v>0.16775136966244469</v>
      </c>
      <c r="G10" s="1">
        <v>0.14999999999999991</v>
      </c>
      <c r="H10" s="11">
        <v>0.78</v>
      </c>
      <c r="I10" s="1">
        <v>0.125</v>
      </c>
      <c r="J10" s="3">
        <v>0</v>
      </c>
      <c r="K10" s="1">
        <f t="shared" si="0"/>
        <v>0.30683590702326374</v>
      </c>
      <c r="L10">
        <v>13098</v>
      </c>
      <c r="M10" s="1" cm="1">
        <f t="array" ref="M10">SUMPRODUCT(($B$2:$B$37 = B10) *$L$2:$L$37 * $K$2:$K$37)/ SUMIFS($L$2:$L$37, $B$2:$B$37, B10)</f>
        <v>0.28258725134832513</v>
      </c>
    </row>
    <row r="11" spans="1:22" x14ac:dyDescent="0.2">
      <c r="A11" t="s">
        <v>1038</v>
      </c>
      <c r="B11" t="s">
        <v>21</v>
      </c>
      <c r="C11" t="s">
        <v>18</v>
      </c>
      <c r="D11" s="1">
        <v>0.10238605484648988</v>
      </c>
      <c r="E11" s="1">
        <v>0.49562000421706387</v>
      </c>
      <c r="F11" s="1">
        <v>0.18867696992846103</v>
      </c>
      <c r="G11" s="1">
        <v>0.11538461538461542</v>
      </c>
      <c r="H11" s="11">
        <v>0.79</v>
      </c>
      <c r="I11" s="1">
        <v>0.11538461538461542</v>
      </c>
      <c r="J11" s="3">
        <v>0</v>
      </c>
      <c r="K11" s="1">
        <f t="shared" si="0"/>
        <v>0.27046791093728056</v>
      </c>
      <c r="L11">
        <v>14591</v>
      </c>
      <c r="M11" s="1" cm="1">
        <f t="array" ref="M11">SUMPRODUCT(($B$2:$B$37 = B11) *$L$2:$L$37 * $K$2:$K$37)/ SUMIFS($L$2:$L$37, $B$2:$B$37, B11)</f>
        <v>0.28258725134832513</v>
      </c>
    </row>
    <row r="12" spans="1:22" x14ac:dyDescent="0.2">
      <c r="A12" t="s">
        <v>1040</v>
      </c>
      <c r="B12" t="s">
        <v>21</v>
      </c>
      <c r="C12" t="s">
        <v>13</v>
      </c>
      <c r="D12" s="1">
        <v>0</v>
      </c>
      <c r="E12" s="1">
        <v>0.74125757953318372</v>
      </c>
      <c r="F12" s="1">
        <v>0.11765181880515639</v>
      </c>
      <c r="G12" s="1">
        <v>0.13888888888888884</v>
      </c>
      <c r="H12" s="11">
        <v>0.71</v>
      </c>
      <c r="I12" s="1">
        <v>0.125</v>
      </c>
      <c r="J12" s="3">
        <v>0</v>
      </c>
      <c r="K12" s="1">
        <f t="shared" si="0"/>
        <v>0.26866974308408437</v>
      </c>
      <c r="L12">
        <v>10115</v>
      </c>
      <c r="M12" s="1" cm="1">
        <f t="array" ref="M12">SUMPRODUCT(($B$2:$B$37 = B12) *$L$2:$L$37 * $K$2:$K$37)/ SUMIFS($L$2:$L$37, $B$2:$B$37, B12)</f>
        <v>0.28258725134832513</v>
      </c>
    </row>
    <row r="13" spans="1:22" x14ac:dyDescent="0.2">
      <c r="A13" t="s">
        <v>1088</v>
      </c>
      <c r="B13" t="s">
        <v>793</v>
      </c>
      <c r="C13" t="s">
        <v>274</v>
      </c>
      <c r="D13" s="1">
        <v>0.99841767645713919</v>
      </c>
      <c r="E13" s="1">
        <v>0.44268626962372282</v>
      </c>
      <c r="F13" s="1">
        <v>0.93970902642540899</v>
      </c>
      <c r="G13" s="1">
        <v>0.86328125</v>
      </c>
      <c r="H13" s="11">
        <v>0.17</v>
      </c>
      <c r="I13" s="1">
        <v>0.8515625</v>
      </c>
      <c r="J13" s="3">
        <v>1</v>
      </c>
      <c r="K13" s="1">
        <f t="shared" si="0"/>
        <v>0.74719126719879758</v>
      </c>
      <c r="L13">
        <v>702487</v>
      </c>
      <c r="M13" s="1" cm="1">
        <f t="array" ref="M13">SUMPRODUCT(($B$2:$B$37 = B13) *$L$2:$L$37 * $K$2:$K$37)/ SUMIFS($L$2:$L$37, $B$2:$B$37, B13)</f>
        <v>0.74719126719879758</v>
      </c>
    </row>
    <row r="14" spans="1:22" x14ac:dyDescent="0.2">
      <c r="A14" t="s">
        <v>1058</v>
      </c>
      <c r="B14" t="s">
        <v>532</v>
      </c>
      <c r="C14" t="s">
        <v>18</v>
      </c>
      <c r="D14" s="1">
        <v>0.80833033230143592</v>
      </c>
      <c r="E14" s="1">
        <v>3.1896336905058442E-2</v>
      </c>
      <c r="F14" s="1">
        <v>0.57578329162911701</v>
      </c>
      <c r="G14" s="1">
        <v>0.88157894736842102</v>
      </c>
      <c r="H14" s="11">
        <v>0.87</v>
      </c>
      <c r="I14" s="1">
        <v>0.85526315789473684</v>
      </c>
      <c r="J14" s="3">
        <v>0</v>
      </c>
      <c r="K14" s="1">
        <f t="shared" si="0"/>
        <v>0.60108116863515026</v>
      </c>
      <c r="L14">
        <v>107480</v>
      </c>
      <c r="M14" s="1" cm="1">
        <f t="array" ref="M14">SUMPRODUCT(($B$2:$B$37 = B14) *$L$2:$L$37 * $K$2:$K$37)/ SUMIFS($L$2:$L$37, $B$2:$B$37, B14)</f>
        <v>0.670410955432589</v>
      </c>
    </row>
    <row r="15" spans="1:22" x14ac:dyDescent="0.2">
      <c r="A15" t="s">
        <v>1060</v>
      </c>
      <c r="B15" t="s">
        <v>532</v>
      </c>
      <c r="C15" t="s">
        <v>274</v>
      </c>
      <c r="D15" s="1">
        <v>0.78271888937783596</v>
      </c>
      <c r="E15" s="1">
        <v>0.67381011711936212</v>
      </c>
      <c r="F15" s="1">
        <v>0.59467063566296086</v>
      </c>
      <c r="G15" s="1">
        <v>0.90476190476190477</v>
      </c>
      <c r="H15" s="11">
        <v>0.86</v>
      </c>
      <c r="I15" s="1">
        <v>0.86904761904761907</v>
      </c>
      <c r="J15" s="3">
        <v>0</v>
      </c>
      <c r="K15" s="1">
        <f t="shared" si="0"/>
        <v>0.69843493841196325</v>
      </c>
      <c r="L15">
        <v>118479</v>
      </c>
      <c r="M15" s="1" cm="1">
        <f t="array" ref="M15">SUMPRODUCT(($B$2:$B$37 = B15) *$L$2:$L$37 * $K$2:$K$37)/ SUMIFS($L$2:$L$37, $B$2:$B$37, B15)</f>
        <v>0.670410955432589</v>
      </c>
    </row>
    <row r="16" spans="1:22" x14ac:dyDescent="0.2">
      <c r="A16" t="s">
        <v>1064</v>
      </c>
      <c r="B16" t="s">
        <v>532</v>
      </c>
      <c r="C16" t="s">
        <v>527</v>
      </c>
      <c r="D16" s="1">
        <v>0.80926810413944517</v>
      </c>
      <c r="E16" s="1">
        <v>0.63801341292971758</v>
      </c>
      <c r="F16" s="1">
        <v>0.61724734720825902</v>
      </c>
      <c r="G16" s="1">
        <v>0.84782608695652173</v>
      </c>
      <c r="H16" s="11">
        <v>0.9</v>
      </c>
      <c r="I16" s="1">
        <v>0.89130434782608692</v>
      </c>
      <c r="J16" s="3">
        <v>0</v>
      </c>
      <c r="K16" s="1">
        <f t="shared" si="0"/>
        <v>0.70144708267467248</v>
      </c>
      <c r="L16">
        <v>133113</v>
      </c>
      <c r="M16" s="1" cm="1">
        <f t="array" ref="M16">SUMPRODUCT(($B$2:$B$37 = B16) *$L$2:$L$37 * $K$2:$K$37)/ SUMIFS($L$2:$L$37, $B$2:$B$37, B16)</f>
        <v>0.670410955432589</v>
      </c>
    </row>
    <row r="17" spans="1:13" x14ac:dyDescent="0.2">
      <c r="A17" t="s">
        <v>1043</v>
      </c>
      <c r="B17" t="s">
        <v>17</v>
      </c>
      <c r="C17" t="s">
        <v>28</v>
      </c>
      <c r="D17" s="1">
        <v>1.1196744769766176E-2</v>
      </c>
      <c r="E17" s="1">
        <v>0.47055764417816015</v>
      </c>
      <c r="F17" s="1">
        <v>0.15387192743555625</v>
      </c>
      <c r="G17" s="1">
        <v>0.22826086956521729</v>
      </c>
      <c r="H17" s="11">
        <v>0.82</v>
      </c>
      <c r="I17" s="1">
        <v>8.6956521739130377E-2</v>
      </c>
      <c r="J17" s="3">
        <v>0</v>
      </c>
      <c r="K17" s="1">
        <f t="shared" si="0"/>
        <v>0.26183856730470634</v>
      </c>
      <c r="L17">
        <v>12193</v>
      </c>
      <c r="M17" s="1" cm="1">
        <f t="array" ref="M17">SUMPRODUCT(($B$2:$B$37 = B17) *$L$2:$L$37 * $K$2:$K$37)/ SUMIFS($L$2:$L$37, $B$2:$B$37, B17)</f>
        <v>0.26369456936635477</v>
      </c>
    </row>
    <row r="18" spans="1:13" x14ac:dyDescent="0.2">
      <c r="A18" t="s">
        <v>1037</v>
      </c>
      <c r="B18" t="s">
        <v>17</v>
      </c>
      <c r="C18" t="s">
        <v>18</v>
      </c>
      <c r="D18" s="1">
        <v>0.11321130013584357</v>
      </c>
      <c r="E18" s="1">
        <v>0.27784699725890849</v>
      </c>
      <c r="F18" s="1">
        <v>0.19380334820704193</v>
      </c>
      <c r="G18" s="1">
        <v>0.23958333333333326</v>
      </c>
      <c r="H18" s="11">
        <v>0.84</v>
      </c>
      <c r="I18" s="1">
        <v>0.125</v>
      </c>
      <c r="J18" s="3">
        <v>0</v>
      </c>
      <c r="K18" s="1">
        <f t="shared" si="0"/>
        <v>0.26782731184706127</v>
      </c>
      <c r="L18">
        <v>14982</v>
      </c>
      <c r="M18" s="1" cm="1">
        <f t="array" ref="M18">SUMPRODUCT(($B$2:$B$37 = B18) *$L$2:$L$37 * $K$2:$K$37)/ SUMIFS($L$2:$L$37, $B$2:$B$37, B18)</f>
        <v>0.26369456936635477</v>
      </c>
    </row>
    <row r="19" spans="1:13" x14ac:dyDescent="0.2">
      <c r="A19" t="s">
        <v>1045</v>
      </c>
      <c r="B19" t="s">
        <v>17</v>
      </c>
      <c r="C19" t="s">
        <v>13</v>
      </c>
      <c r="D19" s="1">
        <v>6.4945049324910742E-2</v>
      </c>
      <c r="E19" s="1">
        <v>0.45053575878395213</v>
      </c>
      <c r="F19" s="1">
        <v>5.77970192342947E-2</v>
      </c>
      <c r="G19" s="1">
        <v>0.1166666666666667</v>
      </c>
      <c r="H19" s="11">
        <v>0.9</v>
      </c>
      <c r="I19" s="1">
        <v>0.16666666666666674</v>
      </c>
      <c r="J19" s="3">
        <v>0</v>
      </c>
      <c r="K19" s="1">
        <f t="shared" si="0"/>
        <v>0.25840559323438583</v>
      </c>
      <c r="L19">
        <v>7428</v>
      </c>
      <c r="M19" s="1" cm="1">
        <f t="array" ref="M19">SUMPRODUCT(($B$2:$B$37 = B19) *$L$2:$L$37 * $K$2:$K$37)/ SUMIFS($L$2:$L$37, $B$2:$B$37, B19)</f>
        <v>0.26369456936635477</v>
      </c>
    </row>
    <row r="20" spans="1:13" x14ac:dyDescent="0.2">
      <c r="A20" t="s">
        <v>1087</v>
      </c>
      <c r="B20" t="s">
        <v>788</v>
      </c>
      <c r="C20" t="s">
        <v>527</v>
      </c>
      <c r="D20" s="1">
        <v>0.99868381237441883</v>
      </c>
      <c r="E20" s="1">
        <v>0.51982780102597581</v>
      </c>
      <c r="F20" s="1">
        <v>0.95891222863411363</v>
      </c>
      <c r="G20" s="1">
        <v>0.8318965517241379</v>
      </c>
      <c r="H20" s="11">
        <v>0.17</v>
      </c>
      <c r="I20" s="1">
        <v>0.85344827586206895</v>
      </c>
      <c r="J20" s="3">
        <v>1</v>
      </c>
      <c r="K20" s="1">
        <f t="shared" si="0"/>
        <v>0.75717707726872463</v>
      </c>
      <c r="L20">
        <v>775639</v>
      </c>
      <c r="M20" s="1" cm="1">
        <f t="array" ref="M20">SUMPRODUCT(($B$2:$B$37 = B20) *$L$2:$L$37 * $K$2:$K$37)/ SUMIFS($L$2:$L$37, $B$2:$B$37, B20)</f>
        <v>0.75717707726872474</v>
      </c>
    </row>
    <row r="21" spans="1:13" x14ac:dyDescent="0.2">
      <c r="A21" t="s">
        <v>1061</v>
      </c>
      <c r="B21" t="s">
        <v>530</v>
      </c>
      <c r="C21" t="s">
        <v>18</v>
      </c>
      <c r="D21" s="1">
        <v>0.80919619971752599</v>
      </c>
      <c r="E21" s="1">
        <v>0.58729130326439072</v>
      </c>
      <c r="F21" s="1">
        <v>0.51019441532971499</v>
      </c>
      <c r="G21" s="1">
        <v>0.8</v>
      </c>
      <c r="H21" s="11">
        <v>0.92</v>
      </c>
      <c r="I21" s="1">
        <v>0.85</v>
      </c>
      <c r="J21" s="3">
        <v>0</v>
      </c>
      <c r="K21" s="1">
        <f t="shared" si="0"/>
        <v>0.669462097732621</v>
      </c>
      <c r="L21">
        <v>76628</v>
      </c>
      <c r="M21" s="1" cm="1">
        <f t="array" ref="M21">SUMPRODUCT(($B$2:$B$37 = B21) *$L$2:$L$37 * $K$2:$K$37)/ SUMIFS($L$2:$L$37, $B$2:$B$37, B21)</f>
        <v>0.66592660946177873</v>
      </c>
    </row>
    <row r="22" spans="1:13" x14ac:dyDescent="0.2">
      <c r="A22" t="s">
        <v>1065</v>
      </c>
      <c r="B22" t="s">
        <v>530</v>
      </c>
      <c r="C22" t="s">
        <v>274</v>
      </c>
      <c r="D22" s="1">
        <v>0.79165737345477183</v>
      </c>
      <c r="E22" s="1">
        <v>0.30310187542660261</v>
      </c>
      <c r="F22" s="1">
        <v>0.61844654153476697</v>
      </c>
      <c r="G22" s="1">
        <v>0.80434782608695654</v>
      </c>
      <c r="H22" s="11">
        <v>0.88</v>
      </c>
      <c r="I22" s="1">
        <v>0.83695652173913038</v>
      </c>
      <c r="J22" s="3">
        <v>0</v>
      </c>
      <c r="K22" s="1">
        <f t="shared" si="0"/>
        <v>0.6329115633221164</v>
      </c>
      <c r="L22">
        <v>133939</v>
      </c>
      <c r="M22" s="1" cm="1">
        <f t="array" ref="M22">SUMPRODUCT(($B$2:$B$37 = B22) *$L$2:$L$37 * $K$2:$K$37)/ SUMIFS($L$2:$L$37, $B$2:$B$37, B22)</f>
        <v>0.66592660946177873</v>
      </c>
    </row>
    <row r="23" spans="1:13" x14ac:dyDescent="0.2">
      <c r="A23" t="s">
        <v>1057</v>
      </c>
      <c r="B23" t="s">
        <v>530</v>
      </c>
      <c r="C23" t="s">
        <v>527</v>
      </c>
      <c r="D23" s="1">
        <v>0.78190440366122738</v>
      </c>
      <c r="E23" s="1">
        <v>0.74841380896701093</v>
      </c>
      <c r="F23" s="1">
        <v>0.62694854954087331</v>
      </c>
      <c r="G23" s="1">
        <v>0.79807692307692313</v>
      </c>
      <c r="H23" s="11">
        <v>0.87</v>
      </c>
      <c r="I23" s="1">
        <v>0.82692307692307687</v>
      </c>
      <c r="J23" s="3">
        <v>0</v>
      </c>
      <c r="K23" s="1">
        <f t="shared" si="0"/>
        <v>0.69558908066227432</v>
      </c>
      <c r="L23">
        <v>139944</v>
      </c>
      <c r="M23" s="1" cm="1">
        <f t="array" ref="M23">SUMPRODUCT(($B$2:$B$37 = B23) *$L$2:$L$37 * $K$2:$K$37)/ SUMIFS($L$2:$L$37, $B$2:$B$37, B23)</f>
        <v>0.66592660946177873</v>
      </c>
    </row>
    <row r="24" spans="1:13" x14ac:dyDescent="0.2">
      <c r="A24" t="s">
        <v>1050</v>
      </c>
      <c r="B24" t="s">
        <v>273</v>
      </c>
      <c r="C24" t="s">
        <v>18</v>
      </c>
      <c r="D24" s="1">
        <v>0.521060044832097</v>
      </c>
      <c r="E24" s="1">
        <v>0.61510435910875849</v>
      </c>
      <c r="F24" s="1">
        <v>8.269486670183275E-2</v>
      </c>
      <c r="G24" s="1">
        <v>0.1637931034482758</v>
      </c>
      <c r="H24" s="11">
        <v>0.2</v>
      </c>
      <c r="I24" s="1">
        <v>0.34482758620689657</v>
      </c>
      <c r="J24" s="3">
        <v>0</v>
      </c>
      <c r="K24" s="1">
        <f t="shared" si="0"/>
        <v>0.29793361697593912</v>
      </c>
      <c r="L24">
        <v>8446</v>
      </c>
      <c r="M24" s="1" cm="1">
        <f t="array" ref="M24">SUMPRODUCT(($B$2:$B$37 = B24) *$L$2:$L$37 * $K$2:$K$37)/ SUMIFS($L$2:$L$37, $B$2:$B$37, B24)</f>
        <v>0.27611245317410849</v>
      </c>
    </row>
    <row r="25" spans="1:13" x14ac:dyDescent="0.2">
      <c r="A25" t="s">
        <v>1049</v>
      </c>
      <c r="B25" t="s">
        <v>273</v>
      </c>
      <c r="C25" t="s">
        <v>274</v>
      </c>
      <c r="D25" s="1">
        <v>0.48161654263230214</v>
      </c>
      <c r="E25" s="1">
        <v>0.41006728133565895</v>
      </c>
      <c r="F25" s="1">
        <v>8.411270079247761E-2</v>
      </c>
      <c r="G25" s="1">
        <v>0.14999999999999991</v>
      </c>
      <c r="H25" s="11">
        <v>0.16</v>
      </c>
      <c r="I25" s="1">
        <v>0.375</v>
      </c>
      <c r="J25" s="3">
        <v>0</v>
      </c>
      <c r="K25" s="1">
        <f t="shared" si="0"/>
        <v>0.2544503058456809</v>
      </c>
      <c r="L25">
        <v>8508</v>
      </c>
      <c r="M25" s="1" cm="1">
        <f t="array" ref="M25">SUMPRODUCT(($B$2:$B$37 = B25) *$L$2:$L$37 * $K$2:$K$37)/ SUMIFS($L$2:$L$37, $B$2:$B$37, B25)</f>
        <v>0.27611245317410849</v>
      </c>
    </row>
    <row r="26" spans="1:13" x14ac:dyDescent="0.2">
      <c r="A26" t="s">
        <v>1042</v>
      </c>
      <c r="B26" t="s">
        <v>12</v>
      </c>
      <c r="C26" t="s">
        <v>28</v>
      </c>
      <c r="D26" s="1">
        <v>0.1096609147913471</v>
      </c>
      <c r="E26" s="1">
        <v>0.56042860702716168</v>
      </c>
      <c r="F26" s="1">
        <v>0.1539355120676297</v>
      </c>
      <c r="G26" s="1">
        <v>0.11458333333333326</v>
      </c>
      <c r="H26" s="11">
        <v>0.84</v>
      </c>
      <c r="I26" s="1">
        <v>8.3333333333333259E-2</v>
      </c>
      <c r="J26" s="3">
        <v>0</v>
      </c>
      <c r="K26" s="1">
        <f t="shared" si="0"/>
        <v>0.28060763415582141</v>
      </c>
      <c r="L26">
        <v>12197</v>
      </c>
      <c r="M26" s="1" cm="1">
        <f t="array" ref="M26">SUMPRODUCT(($B$2:$B$37 = B26) *$L$2:$L$37 * $K$2:$K$37)/ SUMIFS($L$2:$L$37, $B$2:$B$37, B26)</f>
        <v>0.29255177613330235</v>
      </c>
    </row>
    <row r="27" spans="1:13" x14ac:dyDescent="0.2">
      <c r="A27" t="s">
        <v>1047</v>
      </c>
      <c r="B27" t="s">
        <v>12</v>
      </c>
      <c r="C27" t="s">
        <v>18</v>
      </c>
      <c r="D27" s="1">
        <v>8.0343617353594299E-2</v>
      </c>
      <c r="E27" s="1">
        <v>0.82484865364037452</v>
      </c>
      <c r="F27" s="1">
        <v>0.10055248571069214</v>
      </c>
      <c r="G27" s="1">
        <v>0.22058823529411775</v>
      </c>
      <c r="H27" s="11">
        <v>0.82</v>
      </c>
      <c r="I27" s="1">
        <v>0.14705882352941169</v>
      </c>
      <c r="J27" s="3">
        <v>0</v>
      </c>
      <c r="K27" s="1">
        <f t="shared" si="0"/>
        <v>0.32567301202043769</v>
      </c>
      <c r="L27">
        <v>9261</v>
      </c>
      <c r="M27" s="1" cm="1">
        <f t="array" ref="M27">SUMPRODUCT(($B$2:$B$37 = B27) *$L$2:$L$37 * $K$2:$K$37)/ SUMIFS($L$2:$L$37, $B$2:$B$37, B27)</f>
        <v>0.29255177613330235</v>
      </c>
    </row>
    <row r="28" spans="1:13" x14ac:dyDescent="0.2">
      <c r="A28" t="s">
        <v>1036</v>
      </c>
      <c r="B28" t="s">
        <v>12</v>
      </c>
      <c r="C28" t="s">
        <v>13</v>
      </c>
      <c r="D28" s="1">
        <v>3.2164199616063649E-2</v>
      </c>
      <c r="E28" s="1">
        <v>0.54875500776323105</v>
      </c>
      <c r="F28" s="1">
        <v>0.1988985006761699</v>
      </c>
      <c r="G28" s="1">
        <v>0.15384615384615374</v>
      </c>
      <c r="H28" s="11">
        <v>0.84</v>
      </c>
      <c r="I28" s="1">
        <v>0.14423076923076916</v>
      </c>
      <c r="J28" s="3">
        <v>0</v>
      </c>
      <c r="K28" s="1">
        <f t="shared" si="0"/>
        <v>0.28208086618912281</v>
      </c>
      <c r="L28">
        <v>15381</v>
      </c>
      <c r="M28" s="1" cm="1">
        <f t="array" ref="M28">SUMPRODUCT(($B$2:$B$37 = B28) *$L$2:$L$37 * $K$2:$K$37)/ SUMIFS($L$2:$L$37, $B$2:$B$37, B28)</f>
        <v>0.29255177613330235</v>
      </c>
    </row>
    <row r="29" spans="1:13" x14ac:dyDescent="0.2">
      <c r="A29" t="s">
        <v>1053</v>
      </c>
      <c r="B29" t="s">
        <v>281</v>
      </c>
      <c r="C29" t="s">
        <v>18</v>
      </c>
      <c r="D29" s="1">
        <v>0.49744942752683341</v>
      </c>
      <c r="E29" s="1">
        <v>0.66733117368552208</v>
      </c>
      <c r="F29" s="1">
        <v>5.3709075760733659E-2</v>
      </c>
      <c r="G29" s="1">
        <v>0.20535714285714279</v>
      </c>
      <c r="H29" s="11">
        <v>0.23</v>
      </c>
      <c r="I29" s="1">
        <v>0.375</v>
      </c>
      <c r="J29" s="3">
        <v>0</v>
      </c>
      <c r="K29" s="1">
        <f t="shared" si="0"/>
        <v>0.31044949435087643</v>
      </c>
      <c r="L29">
        <v>7273</v>
      </c>
      <c r="M29" s="1" cm="1">
        <f t="array" ref="M29">SUMPRODUCT(($B$2:$B$37 = B29) *$L$2:$L$37 * $K$2:$K$37)/ SUMIFS($L$2:$L$37, $B$2:$B$37, B29)</f>
        <v>0.28262057043030769</v>
      </c>
    </row>
    <row r="30" spans="1:13" x14ac:dyDescent="0.2">
      <c r="A30" t="s">
        <v>1051</v>
      </c>
      <c r="B30" t="s">
        <v>281</v>
      </c>
      <c r="C30" t="s">
        <v>274</v>
      </c>
      <c r="D30" s="1">
        <v>0.54369765378059265</v>
      </c>
      <c r="E30" s="1">
        <v>0.43911832000543682</v>
      </c>
      <c r="F30" s="1">
        <v>0.16014473935456938</v>
      </c>
      <c r="G30" s="1">
        <v>0.11931818181818188</v>
      </c>
      <c r="H30" s="11">
        <v>0.11</v>
      </c>
      <c r="I30" s="1">
        <v>0.33522727272727271</v>
      </c>
      <c r="J30" s="3">
        <v>0</v>
      </c>
      <c r="K30" s="1">
        <f t="shared" si="0"/>
        <v>0.26654944420557403</v>
      </c>
      <c r="L30">
        <v>12594</v>
      </c>
      <c r="M30" s="1" cm="1">
        <f t="array" ref="M30">SUMPRODUCT(($B$2:$B$37 = B30) *$L$2:$L$37 * $K$2:$K$37)/ SUMIFS($L$2:$L$37, $B$2:$B$37, B30)</f>
        <v>0.28262057043030769</v>
      </c>
    </row>
    <row r="31" spans="1:13" x14ac:dyDescent="0.2">
      <c r="A31" t="s">
        <v>1067</v>
      </c>
      <c r="B31" t="s">
        <v>526</v>
      </c>
      <c r="C31" t="s">
        <v>18</v>
      </c>
      <c r="D31" s="1">
        <v>0.79020357831957544</v>
      </c>
      <c r="E31" s="1">
        <v>0</v>
      </c>
      <c r="F31" s="1">
        <v>0.5985790848207726</v>
      </c>
      <c r="G31" s="1">
        <v>0.76190476190476186</v>
      </c>
      <c r="H31" s="11">
        <v>0.88</v>
      </c>
      <c r="I31" s="1">
        <v>0.84523809523809523</v>
      </c>
      <c r="J31" s="3">
        <v>0</v>
      </c>
      <c r="K31" s="1">
        <f t="shared" si="0"/>
        <v>0.57863710219655473</v>
      </c>
      <c r="L31">
        <v>120892</v>
      </c>
      <c r="M31" s="1" cm="1">
        <f t="array" ref="M31">SUMPRODUCT(($B$2:$B$37 = B31) *$L$2:$L$37 * $K$2:$K$37)/ SUMIFS($L$2:$L$37, $B$2:$B$37, B31)</f>
        <v>0.63833082735020508</v>
      </c>
    </row>
    <row r="32" spans="1:13" x14ac:dyDescent="0.2">
      <c r="A32" t="s">
        <v>1063</v>
      </c>
      <c r="B32" t="s">
        <v>526</v>
      </c>
      <c r="C32" t="s">
        <v>274</v>
      </c>
      <c r="D32" s="1">
        <v>0.81187538595002051</v>
      </c>
      <c r="E32" s="1">
        <v>0.51333167206578612</v>
      </c>
      <c r="F32" s="1">
        <v>0.50711921113426417</v>
      </c>
      <c r="G32" s="1">
        <v>0.8035714285714286</v>
      </c>
      <c r="H32" s="11">
        <v>0.88</v>
      </c>
      <c r="I32" s="1">
        <v>0.9107142857142857</v>
      </c>
      <c r="J32" s="3">
        <v>0</v>
      </c>
      <c r="K32" s="1">
        <f t="shared" si="0"/>
        <v>0.65904985252715453</v>
      </c>
      <c r="L32">
        <v>75422</v>
      </c>
      <c r="M32" s="1" cm="1">
        <f t="array" ref="M32">SUMPRODUCT(($B$2:$B$37 = B32) *$L$2:$L$37 * $K$2:$K$37)/ SUMIFS($L$2:$L$37, $B$2:$B$37, B32)</f>
        <v>0.63833082735020508</v>
      </c>
    </row>
    <row r="33" spans="1:13" x14ac:dyDescent="0.2">
      <c r="A33" t="s">
        <v>1056</v>
      </c>
      <c r="B33" t="s">
        <v>526</v>
      </c>
      <c r="C33" t="s">
        <v>527</v>
      </c>
      <c r="D33" s="1">
        <v>0.77543852186756712</v>
      </c>
      <c r="E33" s="1">
        <v>0.55818589583852463</v>
      </c>
      <c r="F33" s="1">
        <v>0.65844872663823895</v>
      </c>
      <c r="G33" s="1">
        <v>0.79464285714285721</v>
      </c>
      <c r="H33" s="11">
        <v>0.85</v>
      </c>
      <c r="I33" s="1">
        <v>0.8839285714285714</v>
      </c>
      <c r="J33" s="3">
        <v>0</v>
      </c>
      <c r="K33" s="1">
        <f t="shared" si="0"/>
        <v>0.67267218345931368</v>
      </c>
      <c r="L33">
        <v>164636</v>
      </c>
      <c r="M33" s="1" cm="1">
        <f t="array" ref="M33">SUMPRODUCT(($B$2:$B$37 = B33) *$L$2:$L$37 * $K$2:$K$37)/ SUMIFS($L$2:$L$37, $B$2:$B$37, B33)</f>
        <v>0.63833082735020508</v>
      </c>
    </row>
    <row r="34" spans="1:13" x14ac:dyDescent="0.2">
      <c r="A34" t="s">
        <v>1062</v>
      </c>
      <c r="B34" t="s">
        <v>534</v>
      </c>
      <c r="C34" t="s">
        <v>18</v>
      </c>
      <c r="D34" s="1">
        <v>0.80696411685272007</v>
      </c>
      <c r="E34" s="1">
        <v>0.50037378519810605</v>
      </c>
      <c r="F34" s="1">
        <v>0.58457553563994857</v>
      </c>
      <c r="G34" s="1">
        <v>0.80952380952380953</v>
      </c>
      <c r="H34" s="11">
        <v>0.81</v>
      </c>
      <c r="I34" s="1">
        <v>0.89285714285714279</v>
      </c>
      <c r="J34" s="3">
        <v>0</v>
      </c>
      <c r="K34" s="1">
        <f t="shared" si="0"/>
        <v>0.65634950721053797</v>
      </c>
      <c r="L34">
        <v>112467</v>
      </c>
      <c r="M34" s="1" cm="1">
        <f t="array" ref="M34">SUMPRODUCT(($B$2:$B$37 = B34) *$L$2:$L$37 * $K$2:$K$37)/ SUMIFS($L$2:$L$37, $B$2:$B$37, B34)</f>
        <v>0.6514147818183208</v>
      </c>
    </row>
    <row r="35" spans="1:13" x14ac:dyDescent="0.2">
      <c r="A35" t="s">
        <v>1059</v>
      </c>
      <c r="B35" t="s">
        <v>534</v>
      </c>
      <c r="C35" t="s">
        <v>274</v>
      </c>
      <c r="D35" s="1">
        <v>0.78460743751987982</v>
      </c>
      <c r="E35" s="1">
        <v>0.46728133565910779</v>
      </c>
      <c r="F35" s="1">
        <v>0.56332323981634469</v>
      </c>
      <c r="G35" s="1">
        <v>0.88749999999999996</v>
      </c>
      <c r="H35" s="11">
        <v>0.81</v>
      </c>
      <c r="I35" s="1">
        <v>0.9</v>
      </c>
      <c r="J35" s="3">
        <v>0</v>
      </c>
      <c r="K35" s="1">
        <f t="shared" si="0"/>
        <v>0.6561371738252938</v>
      </c>
      <c r="L35">
        <v>100789</v>
      </c>
      <c r="M35" s="1" cm="1">
        <f t="array" ref="M35">SUMPRODUCT(($B$2:$B$37 = B35) *$L$2:$L$37 * $K$2:$K$37)/ SUMIFS($L$2:$L$37, $B$2:$B$37, B35)</f>
        <v>0.6514147818183208</v>
      </c>
    </row>
    <row r="36" spans="1:13" x14ac:dyDescent="0.2">
      <c r="A36" t="s">
        <v>1066</v>
      </c>
      <c r="B36" t="s">
        <v>534</v>
      </c>
      <c r="C36" t="s">
        <v>527</v>
      </c>
      <c r="D36" s="1">
        <v>0.80311842784888721</v>
      </c>
      <c r="E36" s="1">
        <v>0.28748672078901472</v>
      </c>
      <c r="F36" s="1">
        <v>0.54318039430584464</v>
      </c>
      <c r="G36" s="1">
        <v>0.88157894736842102</v>
      </c>
      <c r="H36" s="11">
        <v>0.87</v>
      </c>
      <c r="I36" s="1">
        <v>0.92105263157894735</v>
      </c>
      <c r="J36" s="3">
        <v>0</v>
      </c>
      <c r="K36" s="1">
        <f t="shared" si="0"/>
        <v>0.64006585809716432</v>
      </c>
      <c r="L36">
        <v>90842</v>
      </c>
      <c r="M36" s="1" cm="1">
        <f t="array" ref="M36">SUMPRODUCT(($B$2:$B$37 = B36) *$L$2:$L$37 * $K$2:$K$37)/ SUMIFS($L$2:$L$37, $B$2:$B$37, B36)</f>
        <v>0.6514147818183208</v>
      </c>
    </row>
    <row r="37" spans="1:13" x14ac:dyDescent="0.2">
      <c r="A37" t="s">
        <v>1086</v>
      </c>
      <c r="B37" t="s">
        <v>784</v>
      </c>
      <c r="C37" t="s">
        <v>527</v>
      </c>
      <c r="D37" s="1">
        <v>0.99499359325511871</v>
      </c>
      <c r="E37" s="1">
        <v>0.18924701616298756</v>
      </c>
      <c r="F37" s="1">
        <v>0.94901222701677346</v>
      </c>
      <c r="G37" s="1">
        <v>0.84913793103448276</v>
      </c>
      <c r="H37" s="11">
        <v>0.17</v>
      </c>
      <c r="I37" s="1">
        <v>0.875</v>
      </c>
      <c r="J37" s="3">
        <v>1</v>
      </c>
      <c r="K37" s="1">
        <f t="shared" si="0"/>
        <v>0.71010829478316029</v>
      </c>
      <c r="L37">
        <v>737022</v>
      </c>
      <c r="M37" s="1" cm="1">
        <f t="array" ref="M37">SUMPRODUCT(($B$2:$B$37 = B37) *$L$2:$L$37 * $K$2:$K$37)/ SUMIFS($L$2:$L$37, $B$2:$B$37, B37)</f>
        <v>0.71010829478316029</v>
      </c>
    </row>
    <row r="39" spans="1:13" x14ac:dyDescent="0.2">
      <c r="K39" s="6" t="s">
        <v>1111</v>
      </c>
    </row>
  </sheetData>
  <sortState xmlns:xlrd2="http://schemas.microsoft.com/office/spreadsheetml/2017/richdata2" ref="A2:M40">
    <sortCondition ref="A1:A40"/>
  </sortState>
  <mergeCells count="1">
    <mergeCell ref="P5:U5"/>
  </mergeCells>
  <conditionalFormatting sqref="K2:K37">
    <cfRule type="expression" dxfId="3" priority="1">
      <formula>$K2&gt;$M2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52ABF-9544-474D-8CA9-59C327326247}">
  <sheetPr>
    <tabColor rgb="FF00B0F0"/>
  </sheetPr>
  <dimension ref="A1:T37"/>
  <sheetViews>
    <sheetView zoomScale="75" zoomScaleNormal="118" workbookViewId="0">
      <selection activeCell="K50" sqref="K50"/>
    </sheetView>
  </sheetViews>
  <sheetFormatPr baseColWidth="10" defaultRowHeight="16" x14ac:dyDescent="0.2"/>
  <cols>
    <col min="1" max="1" width="29.33203125" bestFit="1" customWidth="1"/>
    <col min="2" max="2" width="16.5" bestFit="1" customWidth="1"/>
    <col min="3" max="3" width="16.5" customWidth="1"/>
    <col min="4" max="4" width="13" customWidth="1"/>
    <col min="5" max="5" width="17.83203125" customWidth="1"/>
    <col min="6" max="6" width="15.33203125" customWidth="1"/>
    <col min="7" max="7" width="14.33203125" customWidth="1"/>
    <col min="8" max="8" width="13.6640625" customWidth="1"/>
    <col min="9" max="9" width="15" customWidth="1"/>
    <col min="10" max="10" width="23.83203125" customWidth="1"/>
    <col min="11" max="11" width="20" customWidth="1"/>
    <col min="12" max="12" width="18.5" customWidth="1"/>
    <col min="13" max="13" width="17.1640625" customWidth="1"/>
    <col min="14" max="14" width="20.1640625" customWidth="1"/>
    <col min="16" max="16" width="16.83203125" bestFit="1" customWidth="1"/>
    <col min="17" max="17" width="15.6640625" bestFit="1" customWidth="1"/>
    <col min="18" max="18" width="13.6640625" bestFit="1" customWidth="1"/>
  </cols>
  <sheetData>
    <row r="1" spans="1:20" x14ac:dyDescent="0.2">
      <c r="A1" s="6" t="s">
        <v>1035</v>
      </c>
      <c r="B1" s="6" t="s">
        <v>1082</v>
      </c>
      <c r="C1" s="6" t="s">
        <v>1084</v>
      </c>
      <c r="D1" s="6" t="s">
        <v>1089</v>
      </c>
      <c r="E1" s="6" t="s">
        <v>1077</v>
      </c>
      <c r="F1" s="6" t="s">
        <v>1090</v>
      </c>
      <c r="G1" s="6" t="s">
        <v>1078</v>
      </c>
      <c r="H1" s="6" t="s">
        <v>1079</v>
      </c>
      <c r="I1" s="6" t="s">
        <v>1091</v>
      </c>
      <c r="J1" s="6" t="s">
        <v>1076</v>
      </c>
      <c r="K1" s="6" t="s">
        <v>1092</v>
      </c>
      <c r="L1" s="6" t="s">
        <v>1093</v>
      </c>
      <c r="M1" s="6" t="s">
        <v>10</v>
      </c>
      <c r="N1" s="6" t="s">
        <v>1072</v>
      </c>
    </row>
    <row r="2" spans="1:20" x14ac:dyDescent="0.2">
      <c r="A2" t="s">
        <v>1046</v>
      </c>
      <c r="B2" t="s">
        <v>23</v>
      </c>
      <c r="C2" t="s">
        <v>28</v>
      </c>
      <c r="D2" s="1">
        <v>0.16858481184594554</v>
      </c>
      <c r="E2" s="1">
        <v>1</v>
      </c>
      <c r="F2" s="1">
        <v>8.8995015491318885E-2</v>
      </c>
      <c r="G2" s="1">
        <v>0.125</v>
      </c>
      <c r="H2" s="11">
        <v>0.86</v>
      </c>
      <c r="I2" s="1">
        <v>7.8125E-2</v>
      </c>
      <c r="J2" s="3">
        <v>0</v>
      </c>
      <c r="K2" s="1">
        <f t="shared" ref="K2:K37" si="0">0.5*H2+0.3*F2+0.2*D2</f>
        <v>0.49041546701658473</v>
      </c>
      <c r="L2" s="1">
        <f t="shared" ref="L2:L37" si="1">0.4*G2+0.4*E2+0.2*J2</f>
        <v>0.45</v>
      </c>
      <c r="M2" t="str">
        <f t="shared" ref="M2:M37" si="2">IF( AND(K2&gt;=$Q$3, L2&gt;=$R$3),  "Strategic",
  IF( AND(K2&gt;=$Q$3, L2&lt;$R$3),  "Leverage",
   IF(AND(K2&lt;$Q$3, L2&gt;=$R$3), "Bottleneck",
      "Non-Critical")))</f>
        <v>Strategic</v>
      </c>
      <c r="N2">
        <v>8725</v>
      </c>
      <c r="Q2" s="9" t="s">
        <v>1101</v>
      </c>
      <c r="R2" s="9" t="s">
        <v>1094</v>
      </c>
      <c r="S2" s="7"/>
      <c r="T2" s="7"/>
    </row>
    <row r="3" spans="1:20" x14ac:dyDescent="0.2">
      <c r="A3" t="s">
        <v>1039</v>
      </c>
      <c r="B3" t="s">
        <v>23</v>
      </c>
      <c r="C3" t="s">
        <v>18</v>
      </c>
      <c r="D3" s="1">
        <v>0.11141807910199497</v>
      </c>
      <c r="E3" s="1">
        <v>0.32843259406927483</v>
      </c>
      <c r="F3" s="1">
        <v>0.13327597826871537</v>
      </c>
      <c r="G3" s="1">
        <v>0.1875</v>
      </c>
      <c r="H3" s="11">
        <v>0.84</v>
      </c>
      <c r="I3" s="1">
        <v>8.3333333333333259E-2</v>
      </c>
      <c r="J3" s="3">
        <v>0</v>
      </c>
      <c r="K3" s="1">
        <f t="shared" si="0"/>
        <v>0.48226640930101361</v>
      </c>
      <c r="L3" s="1">
        <f t="shared" si="1"/>
        <v>0.20637303762770995</v>
      </c>
      <c r="M3" t="str">
        <f t="shared" si="2"/>
        <v>Non-Critical</v>
      </c>
      <c r="N3">
        <v>10964</v>
      </c>
      <c r="Q3" s="17">
        <f>MEDIAN(K2:K37)</f>
        <v>0.48926415179757154</v>
      </c>
      <c r="R3" s="17">
        <f>MEDIAN(L2:L37)</f>
        <v>0.35474596450425</v>
      </c>
      <c r="S3" s="7"/>
      <c r="T3" s="7"/>
    </row>
    <row r="4" spans="1:20" x14ac:dyDescent="0.2">
      <c r="A4" t="s">
        <v>1041</v>
      </c>
      <c r="B4" t="s">
        <v>23</v>
      </c>
      <c r="C4" t="s">
        <v>13</v>
      </c>
      <c r="D4" s="1">
        <v>3.7072155938795537E-2</v>
      </c>
      <c r="E4" s="1">
        <v>0.57859017018220205</v>
      </c>
      <c r="F4" s="1">
        <v>6.5070585152704252E-2</v>
      </c>
      <c r="G4" s="1">
        <v>0.14705882352941169</v>
      </c>
      <c r="H4" s="11">
        <v>0.85</v>
      </c>
      <c r="I4" s="1">
        <v>0.13235294117647056</v>
      </c>
      <c r="J4" s="3">
        <v>0</v>
      </c>
      <c r="K4" s="1">
        <f t="shared" si="0"/>
        <v>0.45193560673357036</v>
      </c>
      <c r="L4" s="1">
        <f t="shared" si="1"/>
        <v>0.29025959748464553</v>
      </c>
      <c r="M4" t="str">
        <f t="shared" si="2"/>
        <v>Non-Critical</v>
      </c>
      <c r="N4">
        <v>7712</v>
      </c>
      <c r="P4" s="8" t="s">
        <v>1108</v>
      </c>
      <c r="Q4" s="10">
        <f>MIN(K2:K37)</f>
        <v>0.18834863870645971</v>
      </c>
      <c r="R4" s="10">
        <f>MIN(L2:L37)</f>
        <v>9.752678793919764E-2</v>
      </c>
      <c r="S4" s="7"/>
      <c r="T4" s="7"/>
    </row>
    <row r="5" spans="1:20" x14ac:dyDescent="0.2">
      <c r="A5" t="s">
        <v>1055</v>
      </c>
      <c r="B5" t="s">
        <v>285</v>
      </c>
      <c r="C5" t="s">
        <v>18</v>
      </c>
      <c r="D5" s="1">
        <v>0.54444249827168112</v>
      </c>
      <c r="E5" s="1">
        <v>5.6316969847994058E-2</v>
      </c>
      <c r="F5" s="1">
        <v>3.6319939740127136E-2</v>
      </c>
      <c r="G5" s="1">
        <v>0.1875</v>
      </c>
      <c r="H5" s="11">
        <v>0.2</v>
      </c>
      <c r="I5" s="1">
        <v>0.375</v>
      </c>
      <c r="J5" s="3">
        <v>0</v>
      </c>
      <c r="K5" s="1">
        <f t="shared" si="0"/>
        <v>0.21978448157637437</v>
      </c>
      <c r="L5" s="1">
        <f t="shared" si="1"/>
        <v>9.752678793919764E-2</v>
      </c>
      <c r="M5" t="str">
        <f t="shared" si="2"/>
        <v>Non-Critical</v>
      </c>
      <c r="N5">
        <v>6649</v>
      </c>
      <c r="P5" s="8" t="s">
        <v>1109</v>
      </c>
      <c r="Q5" s="10">
        <f>MAX(K2:K37)</f>
        <v>0.79702782499036673</v>
      </c>
      <c r="R5" s="18">
        <f>MAX(L2:L37)</f>
        <v>0.74068974110004548</v>
      </c>
    </row>
    <row r="6" spans="1:20" x14ac:dyDescent="0.2">
      <c r="A6" t="s">
        <v>1052</v>
      </c>
      <c r="B6" t="s">
        <v>285</v>
      </c>
      <c r="C6" t="s">
        <v>274</v>
      </c>
      <c r="D6" s="1">
        <v>0.52294812405911983</v>
      </c>
      <c r="E6" s="1">
        <v>0.45576875155743823</v>
      </c>
      <c r="F6" s="1">
        <v>0.12457926156637372</v>
      </c>
      <c r="G6" s="1">
        <v>0.1875</v>
      </c>
      <c r="H6" s="11">
        <v>0.14000000000000001</v>
      </c>
      <c r="I6" s="1">
        <v>0.4375</v>
      </c>
      <c r="J6" s="3">
        <v>0</v>
      </c>
      <c r="K6" s="1">
        <f t="shared" si="0"/>
        <v>0.21196340328173607</v>
      </c>
      <c r="L6" s="1">
        <f t="shared" si="1"/>
        <v>0.2573075006229753</v>
      </c>
      <c r="M6" t="str">
        <f t="shared" si="2"/>
        <v>Non-Critical</v>
      </c>
      <c r="N6">
        <v>10483</v>
      </c>
    </row>
    <row r="7" spans="1:20" x14ac:dyDescent="0.2">
      <c r="A7" t="s">
        <v>1085</v>
      </c>
      <c r="B7" t="s">
        <v>782</v>
      </c>
      <c r="C7" t="s">
        <v>18</v>
      </c>
      <c r="D7" s="1">
        <v>1</v>
      </c>
      <c r="E7" s="1">
        <v>0.39970097184151498</v>
      </c>
      <c r="F7" s="1">
        <v>1</v>
      </c>
      <c r="G7" s="1">
        <v>0.85714285714285721</v>
      </c>
      <c r="H7" s="11">
        <v>0.16</v>
      </c>
      <c r="I7" s="1">
        <v>0.87142857142857144</v>
      </c>
      <c r="J7" s="3">
        <v>1</v>
      </c>
      <c r="K7" s="1">
        <f t="shared" si="0"/>
        <v>0.58000000000000007</v>
      </c>
      <c r="L7" s="1">
        <f t="shared" si="1"/>
        <v>0.70273753159374897</v>
      </c>
      <c r="M7" t="str">
        <f t="shared" si="2"/>
        <v>Strategic</v>
      </c>
      <c r="N7">
        <v>958759</v>
      </c>
      <c r="P7" s="22" t="s">
        <v>1112</v>
      </c>
      <c r="Q7" s="13" t="s">
        <v>1113</v>
      </c>
      <c r="R7" s="13" t="s">
        <v>1081</v>
      </c>
    </row>
    <row r="8" spans="1:20" x14ac:dyDescent="0.2">
      <c r="A8" t="s">
        <v>1048</v>
      </c>
      <c r="B8" t="s">
        <v>270</v>
      </c>
      <c r="C8" t="s">
        <v>18</v>
      </c>
      <c r="D8" s="1">
        <v>0.49174319353229856</v>
      </c>
      <c r="E8" s="1">
        <v>0.55818589583852463</v>
      </c>
      <c r="F8" s="1">
        <v>0</v>
      </c>
      <c r="G8" s="1">
        <v>0.22619047619047628</v>
      </c>
      <c r="H8" s="11">
        <v>0.18</v>
      </c>
      <c r="I8" s="1">
        <v>0.3571428571428571</v>
      </c>
      <c r="J8" s="3">
        <v>0</v>
      </c>
      <c r="K8" s="1">
        <f t="shared" si="0"/>
        <v>0.18834863870645971</v>
      </c>
      <c r="L8" s="1">
        <f t="shared" si="1"/>
        <v>0.31375054881160036</v>
      </c>
      <c r="M8" t="str">
        <f t="shared" si="2"/>
        <v>Non-Critical</v>
      </c>
      <c r="N8">
        <v>5513</v>
      </c>
      <c r="P8" s="25" t="s">
        <v>1114</v>
      </c>
      <c r="Q8" s="21" t="s">
        <v>1102</v>
      </c>
      <c r="R8" s="20">
        <v>0.5</v>
      </c>
    </row>
    <row r="9" spans="1:20" x14ac:dyDescent="0.2">
      <c r="A9" t="s">
        <v>1054</v>
      </c>
      <c r="B9" t="s">
        <v>270</v>
      </c>
      <c r="C9" t="s">
        <v>274</v>
      </c>
      <c r="D9" s="1">
        <v>0.48879332937773678</v>
      </c>
      <c r="E9" s="1">
        <v>0.60690989577989174</v>
      </c>
      <c r="F9" s="1">
        <v>8.4636045654242001E-2</v>
      </c>
      <c r="G9" s="1">
        <v>0.14705882352941169</v>
      </c>
      <c r="H9" s="11">
        <v>0.18</v>
      </c>
      <c r="I9" s="1">
        <v>0.36029411764705888</v>
      </c>
      <c r="J9" s="3">
        <v>0</v>
      </c>
      <c r="K9" s="1">
        <f t="shared" si="0"/>
        <v>0.21314947957181996</v>
      </c>
      <c r="L9" s="1">
        <f t="shared" si="1"/>
        <v>0.3015874877237214</v>
      </c>
      <c r="M9" t="str">
        <f t="shared" si="2"/>
        <v>Non-Critical</v>
      </c>
      <c r="N9">
        <v>8531</v>
      </c>
      <c r="P9" s="25"/>
      <c r="Q9" s="21" t="s">
        <v>1104</v>
      </c>
      <c r="R9" s="20">
        <v>0.3</v>
      </c>
    </row>
    <row r="10" spans="1:20" x14ac:dyDescent="0.2">
      <c r="A10" t="s">
        <v>1044</v>
      </c>
      <c r="B10" t="s">
        <v>21</v>
      </c>
      <c r="C10" t="s">
        <v>28</v>
      </c>
      <c r="D10" s="1">
        <v>9.0678492295102053E-2</v>
      </c>
      <c r="E10" s="1">
        <v>0.74358335409917764</v>
      </c>
      <c r="F10" s="1">
        <v>0.16775136966244469</v>
      </c>
      <c r="G10" s="1">
        <v>0.14999999999999991</v>
      </c>
      <c r="H10" s="11">
        <v>0.78</v>
      </c>
      <c r="I10" s="1">
        <v>0.125</v>
      </c>
      <c r="J10" s="3">
        <v>0</v>
      </c>
      <c r="K10" s="1">
        <f t="shared" si="0"/>
        <v>0.45846110935775386</v>
      </c>
      <c r="L10" s="1">
        <f t="shared" si="1"/>
        <v>0.357433341639671</v>
      </c>
      <c r="M10" t="str">
        <f t="shared" si="2"/>
        <v>Bottleneck</v>
      </c>
      <c r="N10">
        <v>13098</v>
      </c>
      <c r="P10" s="25"/>
      <c r="Q10" s="21" t="s">
        <v>1106</v>
      </c>
      <c r="R10" s="20">
        <v>0.2</v>
      </c>
    </row>
    <row r="11" spans="1:20" x14ac:dyDescent="0.2">
      <c r="A11" t="s">
        <v>1038</v>
      </c>
      <c r="B11" t="s">
        <v>21</v>
      </c>
      <c r="C11" t="s">
        <v>18</v>
      </c>
      <c r="D11" s="1">
        <v>0.10238605484648988</v>
      </c>
      <c r="E11" s="1">
        <v>0.49562000421706387</v>
      </c>
      <c r="F11" s="1">
        <v>0.18867696992846103</v>
      </c>
      <c r="G11" s="1">
        <v>0.11538461538461542</v>
      </c>
      <c r="H11" s="11">
        <v>0.79</v>
      </c>
      <c r="I11" s="1">
        <v>0.11538461538461542</v>
      </c>
      <c r="J11" s="3">
        <v>0</v>
      </c>
      <c r="K11" s="1">
        <f t="shared" si="0"/>
        <v>0.47208030194783634</v>
      </c>
      <c r="L11" s="1">
        <f t="shared" si="1"/>
        <v>0.2444018478406717</v>
      </c>
      <c r="M11" t="str">
        <f t="shared" si="2"/>
        <v>Non-Critical</v>
      </c>
      <c r="N11">
        <v>14591</v>
      </c>
      <c r="P11" s="25" t="s">
        <v>1115</v>
      </c>
      <c r="Q11" s="21" t="s">
        <v>1103</v>
      </c>
      <c r="R11" s="20">
        <v>0.4</v>
      </c>
    </row>
    <row r="12" spans="1:20" x14ac:dyDescent="0.2">
      <c r="A12" t="s">
        <v>1040</v>
      </c>
      <c r="B12" t="s">
        <v>21</v>
      </c>
      <c r="C12" t="s">
        <v>13</v>
      </c>
      <c r="D12" s="1">
        <v>0</v>
      </c>
      <c r="E12" s="1">
        <v>0.74125757953318372</v>
      </c>
      <c r="F12" s="1">
        <v>0.11765181880515639</v>
      </c>
      <c r="G12" s="1">
        <v>0.13888888888888884</v>
      </c>
      <c r="H12" s="11">
        <v>0.71</v>
      </c>
      <c r="I12" s="1">
        <v>0.125</v>
      </c>
      <c r="J12" s="3">
        <v>0</v>
      </c>
      <c r="K12" s="1">
        <f t="shared" si="0"/>
        <v>0.39029554564154689</v>
      </c>
      <c r="L12" s="1">
        <f t="shared" si="1"/>
        <v>0.352058587368829</v>
      </c>
      <c r="M12" t="str">
        <f t="shared" si="2"/>
        <v>Non-Critical</v>
      </c>
      <c r="N12">
        <v>10115</v>
      </c>
      <c r="P12" s="25"/>
      <c r="Q12" s="21" t="s">
        <v>1116</v>
      </c>
      <c r="R12" s="20">
        <v>0.4</v>
      </c>
    </row>
    <row r="13" spans="1:20" x14ac:dyDescent="0.2">
      <c r="A13" t="s">
        <v>1088</v>
      </c>
      <c r="B13" t="s">
        <v>793</v>
      </c>
      <c r="C13" t="s">
        <v>274</v>
      </c>
      <c r="D13" s="1">
        <v>0.99841767645713919</v>
      </c>
      <c r="E13" s="1">
        <v>0.44268626962372282</v>
      </c>
      <c r="F13" s="1">
        <v>0.93970902642540899</v>
      </c>
      <c r="G13" s="1">
        <v>0.86328125</v>
      </c>
      <c r="H13" s="11">
        <v>0.17</v>
      </c>
      <c r="I13" s="1">
        <v>0.8515625</v>
      </c>
      <c r="J13" s="3">
        <v>1</v>
      </c>
      <c r="K13" s="1">
        <f t="shared" si="0"/>
        <v>0.56659624321905055</v>
      </c>
      <c r="L13" s="1">
        <f t="shared" si="1"/>
        <v>0.72238700784948917</v>
      </c>
      <c r="M13" t="str">
        <f t="shared" si="2"/>
        <v>Strategic</v>
      </c>
      <c r="N13">
        <v>702487</v>
      </c>
      <c r="P13" s="25"/>
      <c r="Q13" s="21" t="s">
        <v>1117</v>
      </c>
      <c r="R13" s="20">
        <v>0.2</v>
      </c>
    </row>
    <row r="14" spans="1:20" x14ac:dyDescent="0.2">
      <c r="A14" t="s">
        <v>1058</v>
      </c>
      <c r="B14" t="s">
        <v>532</v>
      </c>
      <c r="C14" t="s">
        <v>18</v>
      </c>
      <c r="D14" s="1">
        <v>0.80833033230143592</v>
      </c>
      <c r="E14" s="1">
        <v>3.1896336905058442E-2</v>
      </c>
      <c r="F14" s="1">
        <v>0.57578329162911701</v>
      </c>
      <c r="G14" s="1">
        <v>0.88157894736842102</v>
      </c>
      <c r="H14" s="11">
        <v>0.87</v>
      </c>
      <c r="I14" s="1">
        <v>0.85526315789473684</v>
      </c>
      <c r="J14" s="3">
        <v>0</v>
      </c>
      <c r="K14" s="1">
        <f t="shared" si="0"/>
        <v>0.76940105394902236</v>
      </c>
      <c r="L14" s="1">
        <f t="shared" si="1"/>
        <v>0.36539011370939178</v>
      </c>
      <c r="M14" t="str">
        <f t="shared" si="2"/>
        <v>Strategic</v>
      </c>
      <c r="N14">
        <v>107480</v>
      </c>
    </row>
    <row r="15" spans="1:20" x14ac:dyDescent="0.2">
      <c r="A15" t="s">
        <v>1060</v>
      </c>
      <c r="B15" t="s">
        <v>532</v>
      </c>
      <c r="C15" t="s">
        <v>274</v>
      </c>
      <c r="D15" s="1">
        <v>0.78271888937783596</v>
      </c>
      <c r="E15" s="1">
        <v>0.67381011711936212</v>
      </c>
      <c r="F15" s="1">
        <v>0.59467063566296086</v>
      </c>
      <c r="G15" s="1">
        <v>0.90476190476190477</v>
      </c>
      <c r="H15" s="11">
        <v>0.86</v>
      </c>
      <c r="I15" s="1">
        <v>0.86904761904761907</v>
      </c>
      <c r="J15" s="3">
        <v>0</v>
      </c>
      <c r="K15" s="1">
        <f t="shared" si="0"/>
        <v>0.76494496857445538</v>
      </c>
      <c r="L15" s="1">
        <f t="shared" si="1"/>
        <v>0.63142880875250684</v>
      </c>
      <c r="M15" t="str">
        <f t="shared" si="2"/>
        <v>Strategic</v>
      </c>
      <c r="N15">
        <v>118479</v>
      </c>
      <c r="P15" s="13" t="s">
        <v>1095</v>
      </c>
      <c r="Q15" s="13" t="s">
        <v>1096</v>
      </c>
      <c r="R15" s="14" t="s">
        <v>1098</v>
      </c>
      <c r="S15" s="13" t="s">
        <v>1097</v>
      </c>
      <c r="T15" s="13" t="s">
        <v>1100</v>
      </c>
    </row>
    <row r="16" spans="1:20" x14ac:dyDescent="0.2">
      <c r="A16" t="s">
        <v>1064</v>
      </c>
      <c r="B16" t="s">
        <v>532</v>
      </c>
      <c r="C16" t="s">
        <v>527</v>
      </c>
      <c r="D16" s="1">
        <v>0.80926810413944517</v>
      </c>
      <c r="E16" s="1">
        <v>0.63801341292971758</v>
      </c>
      <c r="F16" s="1">
        <v>0.61724734720825902</v>
      </c>
      <c r="G16" s="1">
        <v>0.84782608695652173</v>
      </c>
      <c r="H16" s="11">
        <v>0.9</v>
      </c>
      <c r="I16" s="1">
        <v>0.89130434782608692</v>
      </c>
      <c r="J16" s="3">
        <v>0</v>
      </c>
      <c r="K16" s="1">
        <f t="shared" si="0"/>
        <v>0.79702782499036673</v>
      </c>
      <c r="L16" s="1">
        <f t="shared" si="1"/>
        <v>0.59433579995449581</v>
      </c>
      <c r="M16" t="str">
        <f t="shared" si="2"/>
        <v>Strategic</v>
      </c>
      <c r="N16">
        <v>133113</v>
      </c>
      <c r="P16" s="8" t="s">
        <v>14</v>
      </c>
      <c r="Q16" s="8">
        <f>COUNTIF($M$2:$M$37,P16)</f>
        <v>16</v>
      </c>
      <c r="R16" s="15">
        <f>AVERAGEIF($M$2:$M$37,P16,$K$2:$K$37)</f>
        <v>0.70069510832044835</v>
      </c>
      <c r="S16" s="10">
        <f>AVERAGEIF($M$2:$M$37,P16,$L$2:$L$37)</f>
        <v>0.56501289108939012</v>
      </c>
      <c r="T16" s="23">
        <f>SUMIF($M$2:$M$37,P16,$N$2:$N$37)/SUM($N$2:$N$37)</f>
        <v>0.93334759746207907</v>
      </c>
    </row>
    <row r="17" spans="1:20" x14ac:dyDescent="0.2">
      <c r="A17" t="s">
        <v>1043</v>
      </c>
      <c r="B17" t="s">
        <v>17</v>
      </c>
      <c r="C17" t="s">
        <v>28</v>
      </c>
      <c r="D17" s="1">
        <v>1.1196744769766176E-2</v>
      </c>
      <c r="E17" s="1">
        <v>0.47055764417816015</v>
      </c>
      <c r="F17" s="1">
        <v>0.15387192743555625</v>
      </c>
      <c r="G17" s="1">
        <v>0.22826086956521729</v>
      </c>
      <c r="H17" s="11">
        <v>0.82</v>
      </c>
      <c r="I17" s="1">
        <v>8.6956521739130377E-2</v>
      </c>
      <c r="J17" s="3">
        <v>0</v>
      </c>
      <c r="K17" s="1">
        <f t="shared" si="0"/>
        <v>0.45840092718462006</v>
      </c>
      <c r="L17" s="1">
        <f t="shared" si="1"/>
        <v>0.279527405497351</v>
      </c>
      <c r="M17" t="str">
        <f t="shared" si="2"/>
        <v>Non-Critical</v>
      </c>
      <c r="N17">
        <v>12193</v>
      </c>
      <c r="P17" s="8" t="s">
        <v>528</v>
      </c>
      <c r="Q17" s="8">
        <f t="shared" ref="Q17:Q19" si="3">COUNTIF($M$2:$M$37,P17)</f>
        <v>2</v>
      </c>
      <c r="R17" s="15">
        <f>AVERAGEIF($M$2:$M$37,P17,$K$2:$K$37)</f>
        <v>0.63919885279971411</v>
      </c>
      <c r="S17" s="10">
        <f>AVERAGEIF($M$2:$M$37,P17,$L$2:$L$37)</f>
        <v>0.25586701849940074</v>
      </c>
      <c r="T17" s="23">
        <f t="shared" ref="T17:T19" si="4">SUMIF($M$2:$M$37,P17,$N$2:$N$37)/SUM($N$2:$N$37)</f>
        <v>2.8585903085554056E-2</v>
      </c>
    </row>
    <row r="18" spans="1:20" x14ac:dyDescent="0.2">
      <c r="A18" t="s">
        <v>1037</v>
      </c>
      <c r="B18" t="s">
        <v>17</v>
      </c>
      <c r="C18" t="s">
        <v>18</v>
      </c>
      <c r="D18" s="1">
        <v>0.11321130013584357</v>
      </c>
      <c r="E18" s="1">
        <v>0.27784699725890849</v>
      </c>
      <c r="F18" s="1">
        <v>0.19380334820704193</v>
      </c>
      <c r="G18" s="1">
        <v>0.23958333333333326</v>
      </c>
      <c r="H18" s="11">
        <v>0.84</v>
      </c>
      <c r="I18" s="1">
        <v>0.125</v>
      </c>
      <c r="J18" s="3">
        <v>0</v>
      </c>
      <c r="K18" s="1">
        <f t="shared" si="0"/>
        <v>0.50078326448928123</v>
      </c>
      <c r="L18" s="1">
        <f t="shared" si="1"/>
        <v>0.2069721322368967</v>
      </c>
      <c r="M18" t="str">
        <f t="shared" si="2"/>
        <v>Leverage</v>
      </c>
      <c r="N18">
        <v>14982</v>
      </c>
      <c r="P18" s="8" t="s">
        <v>271</v>
      </c>
      <c r="Q18" s="8">
        <f t="shared" si="3"/>
        <v>2</v>
      </c>
      <c r="R18" s="15">
        <f>AVERAGEIF($M$2:$M$37,P18,$K$2:$K$37)</f>
        <v>0.45734778927084019</v>
      </c>
      <c r="S18" s="10">
        <f>AVERAGEIF($M$2:$M$37,P18,$L$2:$L$37)</f>
        <v>0.38780404860673395</v>
      </c>
      <c r="T18" s="23">
        <f>SUMIF($M$2:$M$37,P18,$N$2:$N$37)/SUM($N$2:$N$37)</f>
        <v>4.7040067054028231E-3</v>
      </c>
    </row>
    <row r="19" spans="1:20" x14ac:dyDescent="0.2">
      <c r="A19" t="s">
        <v>1045</v>
      </c>
      <c r="B19" t="s">
        <v>17</v>
      </c>
      <c r="C19" t="s">
        <v>13</v>
      </c>
      <c r="D19" s="1">
        <v>6.4945049324910742E-2</v>
      </c>
      <c r="E19" s="1">
        <v>0.45053575878395213</v>
      </c>
      <c r="F19" s="1">
        <v>5.77970192342947E-2</v>
      </c>
      <c r="G19" s="1">
        <v>0.1166666666666667</v>
      </c>
      <c r="H19" s="11">
        <v>0.9</v>
      </c>
      <c r="I19" s="1">
        <v>0.16666666666666674</v>
      </c>
      <c r="J19" s="3">
        <v>0</v>
      </c>
      <c r="K19" s="1">
        <f t="shared" si="0"/>
        <v>0.48032811563527056</v>
      </c>
      <c r="L19" s="1">
        <f t="shared" si="1"/>
        <v>0.22688097018024755</v>
      </c>
      <c r="M19" t="str">
        <f t="shared" si="2"/>
        <v>Non-Critical</v>
      </c>
      <c r="N19">
        <v>7428</v>
      </c>
      <c r="P19" s="8" t="s">
        <v>1099</v>
      </c>
      <c r="Q19" s="8">
        <f t="shared" si="3"/>
        <v>16</v>
      </c>
      <c r="R19" s="15">
        <f>AVERAGEIF($M$2:$M$37,P19,$K$2:$K$37)</f>
        <v>0.33848320530138248</v>
      </c>
      <c r="S19" s="10">
        <f>AVERAGEIF($M$2:$M$37,P19,$L$2:$L$37)</f>
        <v>0.26429717729928076</v>
      </c>
      <c r="T19" s="23">
        <f t="shared" si="4"/>
        <v>3.3362492746964033E-2</v>
      </c>
    </row>
    <row r="20" spans="1:20" x14ac:dyDescent="0.2">
      <c r="A20" t="s">
        <v>1087</v>
      </c>
      <c r="B20" t="s">
        <v>788</v>
      </c>
      <c r="C20" t="s">
        <v>527</v>
      </c>
      <c r="D20" s="1">
        <v>0.99868381237441883</v>
      </c>
      <c r="E20" s="1">
        <v>0.51982780102597581</v>
      </c>
      <c r="F20" s="1">
        <v>0.95891222863411363</v>
      </c>
      <c r="G20" s="1">
        <v>0.8318965517241379</v>
      </c>
      <c r="H20" s="11">
        <v>0.17</v>
      </c>
      <c r="I20" s="1">
        <v>0.85344827586206895</v>
      </c>
      <c r="J20" s="3">
        <v>1</v>
      </c>
      <c r="K20" s="1">
        <f t="shared" si="0"/>
        <v>0.57241043106511791</v>
      </c>
      <c r="L20" s="1">
        <f t="shared" si="1"/>
        <v>0.74068974110004548</v>
      </c>
      <c r="M20" t="str">
        <f t="shared" si="2"/>
        <v>Strategic</v>
      </c>
      <c r="N20">
        <v>775639</v>
      </c>
    </row>
    <row r="21" spans="1:20" x14ac:dyDescent="0.2">
      <c r="A21" t="s">
        <v>1061</v>
      </c>
      <c r="B21" t="s">
        <v>530</v>
      </c>
      <c r="C21" t="s">
        <v>18</v>
      </c>
      <c r="D21" s="1">
        <v>0.80919619971752599</v>
      </c>
      <c r="E21" s="1">
        <v>0.58729130326439072</v>
      </c>
      <c r="F21" s="1">
        <v>0.51019441532971499</v>
      </c>
      <c r="G21" s="1">
        <v>0.8</v>
      </c>
      <c r="H21" s="11">
        <v>0.92</v>
      </c>
      <c r="I21" s="1">
        <v>0.85</v>
      </c>
      <c r="J21" s="3">
        <v>0</v>
      </c>
      <c r="K21" s="1">
        <f t="shared" si="0"/>
        <v>0.77489756454241976</v>
      </c>
      <c r="L21" s="1">
        <f t="shared" si="1"/>
        <v>0.55491652130575631</v>
      </c>
      <c r="M21" t="str">
        <f t="shared" si="2"/>
        <v>Strategic</v>
      </c>
      <c r="N21">
        <v>76628</v>
      </c>
    </row>
    <row r="22" spans="1:20" x14ac:dyDescent="0.2">
      <c r="A22" t="s">
        <v>1065</v>
      </c>
      <c r="B22" t="s">
        <v>530</v>
      </c>
      <c r="C22" t="s">
        <v>274</v>
      </c>
      <c r="D22" s="1">
        <v>0.79165737345477183</v>
      </c>
      <c r="E22" s="1">
        <v>0.30310187542660261</v>
      </c>
      <c r="F22" s="1">
        <v>0.61844654153476697</v>
      </c>
      <c r="G22" s="1">
        <v>0.80434782608695654</v>
      </c>
      <c r="H22" s="11">
        <v>0.88</v>
      </c>
      <c r="I22" s="1">
        <v>0.83695652173913038</v>
      </c>
      <c r="J22" s="3">
        <v>0</v>
      </c>
      <c r="K22" s="1">
        <f t="shared" si="0"/>
        <v>0.78386543715138446</v>
      </c>
      <c r="L22" s="1">
        <f t="shared" si="1"/>
        <v>0.4429798806054237</v>
      </c>
      <c r="M22" t="str">
        <f t="shared" si="2"/>
        <v>Strategic</v>
      </c>
      <c r="N22">
        <v>133939</v>
      </c>
    </row>
    <row r="23" spans="1:20" x14ac:dyDescent="0.2">
      <c r="A23" t="s">
        <v>1057</v>
      </c>
      <c r="B23" t="s">
        <v>530</v>
      </c>
      <c r="C23" t="s">
        <v>527</v>
      </c>
      <c r="D23" s="1">
        <v>0.78190440366122738</v>
      </c>
      <c r="E23" s="1">
        <v>0.74841380896701093</v>
      </c>
      <c r="F23" s="1">
        <v>0.62694854954087331</v>
      </c>
      <c r="G23" s="1">
        <v>0.79807692307692313</v>
      </c>
      <c r="H23" s="11">
        <v>0.87</v>
      </c>
      <c r="I23" s="1">
        <v>0.82692307692307687</v>
      </c>
      <c r="J23" s="3">
        <v>0</v>
      </c>
      <c r="K23" s="1">
        <f t="shared" si="0"/>
        <v>0.77946544559450759</v>
      </c>
      <c r="L23" s="1">
        <f t="shared" si="1"/>
        <v>0.61859629281757367</v>
      </c>
      <c r="M23" t="str">
        <f t="shared" si="2"/>
        <v>Strategic</v>
      </c>
      <c r="N23">
        <v>139944</v>
      </c>
    </row>
    <row r="24" spans="1:20" x14ac:dyDescent="0.2">
      <c r="A24" t="s">
        <v>1050</v>
      </c>
      <c r="B24" t="s">
        <v>273</v>
      </c>
      <c r="C24" t="s">
        <v>18</v>
      </c>
      <c r="D24" s="1">
        <v>0.521060044832097</v>
      </c>
      <c r="E24" s="1">
        <v>0.61510435910875849</v>
      </c>
      <c r="F24" s="1">
        <v>8.269486670183275E-2</v>
      </c>
      <c r="G24" s="1">
        <v>0.1637931034482758</v>
      </c>
      <c r="H24" s="11">
        <v>0.2</v>
      </c>
      <c r="I24" s="1">
        <v>0.34482758620689657</v>
      </c>
      <c r="J24" s="3">
        <v>0</v>
      </c>
      <c r="K24" s="1">
        <f t="shared" si="0"/>
        <v>0.22902046897696926</v>
      </c>
      <c r="L24" s="1">
        <f t="shared" si="1"/>
        <v>0.31155898502281371</v>
      </c>
      <c r="M24" t="str">
        <f t="shared" si="2"/>
        <v>Non-Critical</v>
      </c>
      <c r="N24">
        <v>8446</v>
      </c>
    </row>
    <row r="25" spans="1:20" x14ac:dyDescent="0.2">
      <c r="A25" t="s">
        <v>1049</v>
      </c>
      <c r="B25" t="s">
        <v>273</v>
      </c>
      <c r="C25" t="s">
        <v>274</v>
      </c>
      <c r="D25" s="1">
        <v>0.48161654263230214</v>
      </c>
      <c r="E25" s="1">
        <v>0.41006728133565895</v>
      </c>
      <c r="F25" s="1">
        <v>8.411270079247761E-2</v>
      </c>
      <c r="G25" s="1">
        <v>0.14999999999999991</v>
      </c>
      <c r="H25" s="11">
        <v>0.16</v>
      </c>
      <c r="I25" s="1">
        <v>0.375</v>
      </c>
      <c r="J25" s="3">
        <v>0</v>
      </c>
      <c r="K25" s="1">
        <f t="shared" si="0"/>
        <v>0.20155711876420371</v>
      </c>
      <c r="L25" s="1">
        <f t="shared" si="1"/>
        <v>0.22402691253426357</v>
      </c>
      <c r="M25" t="str">
        <f t="shared" si="2"/>
        <v>Non-Critical</v>
      </c>
      <c r="N25">
        <v>8508</v>
      </c>
    </row>
    <row r="26" spans="1:20" x14ac:dyDescent="0.2">
      <c r="A26" t="s">
        <v>1042</v>
      </c>
      <c r="B26" t="s">
        <v>12</v>
      </c>
      <c r="C26" t="s">
        <v>28</v>
      </c>
      <c r="D26" s="1">
        <v>0.1096609147913471</v>
      </c>
      <c r="E26" s="1">
        <v>0.56042860702716168</v>
      </c>
      <c r="F26" s="1">
        <v>0.1539355120676297</v>
      </c>
      <c r="G26" s="1">
        <v>0.11458333333333326</v>
      </c>
      <c r="H26" s="11">
        <v>0.84</v>
      </c>
      <c r="I26" s="1">
        <v>8.3333333333333259E-2</v>
      </c>
      <c r="J26" s="3">
        <v>0</v>
      </c>
      <c r="K26" s="1">
        <f t="shared" si="0"/>
        <v>0.48811283657855831</v>
      </c>
      <c r="L26" s="1">
        <f t="shared" si="1"/>
        <v>0.27000477614419799</v>
      </c>
      <c r="M26" t="str">
        <f t="shared" si="2"/>
        <v>Non-Critical</v>
      </c>
      <c r="N26">
        <v>12197</v>
      </c>
    </row>
    <row r="27" spans="1:20" x14ac:dyDescent="0.2">
      <c r="A27" t="s">
        <v>1047</v>
      </c>
      <c r="B27" t="s">
        <v>12</v>
      </c>
      <c r="C27" t="s">
        <v>18</v>
      </c>
      <c r="D27" s="1">
        <v>8.0343617353594299E-2</v>
      </c>
      <c r="E27" s="1">
        <v>0.82484865364037452</v>
      </c>
      <c r="F27" s="1">
        <v>0.10055248571069214</v>
      </c>
      <c r="G27" s="1">
        <v>0.22058823529411775</v>
      </c>
      <c r="H27" s="11">
        <v>0.82</v>
      </c>
      <c r="I27" s="1">
        <v>0.14705882352941169</v>
      </c>
      <c r="J27" s="3">
        <v>0</v>
      </c>
      <c r="K27" s="1">
        <f t="shared" si="0"/>
        <v>0.45623446918392646</v>
      </c>
      <c r="L27" s="1">
        <f t="shared" si="1"/>
        <v>0.41817475557379691</v>
      </c>
      <c r="M27" t="str">
        <f t="shared" si="2"/>
        <v>Bottleneck</v>
      </c>
      <c r="N27">
        <v>9261</v>
      </c>
    </row>
    <row r="28" spans="1:20" x14ac:dyDescent="0.2">
      <c r="A28" t="s">
        <v>1036</v>
      </c>
      <c r="B28" t="s">
        <v>12</v>
      </c>
      <c r="C28" t="s">
        <v>13</v>
      </c>
      <c r="D28" s="1">
        <v>3.2164199616063649E-2</v>
      </c>
      <c r="E28" s="1">
        <v>0.54875500776323105</v>
      </c>
      <c r="F28" s="1">
        <v>0.1988985006761699</v>
      </c>
      <c r="G28" s="1">
        <v>0.15384615384615374</v>
      </c>
      <c r="H28" s="11">
        <v>0.84</v>
      </c>
      <c r="I28" s="1">
        <v>0.14423076923076916</v>
      </c>
      <c r="J28" s="3">
        <v>0</v>
      </c>
      <c r="K28" s="1">
        <f t="shared" si="0"/>
        <v>0.48610239012606371</v>
      </c>
      <c r="L28" s="1">
        <f t="shared" si="1"/>
        <v>0.28104046464375393</v>
      </c>
      <c r="M28" t="str">
        <f t="shared" si="2"/>
        <v>Non-Critical</v>
      </c>
      <c r="N28">
        <v>15381</v>
      </c>
    </row>
    <row r="29" spans="1:20" x14ac:dyDescent="0.2">
      <c r="A29" t="s">
        <v>1053</v>
      </c>
      <c r="B29" t="s">
        <v>281</v>
      </c>
      <c r="C29" t="s">
        <v>18</v>
      </c>
      <c r="D29" s="1">
        <v>0.49744942752683341</v>
      </c>
      <c r="E29" s="1">
        <v>0.66733117368552208</v>
      </c>
      <c r="F29" s="1">
        <v>5.3709075760733659E-2</v>
      </c>
      <c r="G29" s="1">
        <v>0.20535714285714279</v>
      </c>
      <c r="H29" s="11">
        <v>0.23</v>
      </c>
      <c r="I29" s="1">
        <v>0.375</v>
      </c>
      <c r="J29" s="3">
        <v>0</v>
      </c>
      <c r="K29" s="1">
        <f t="shared" si="0"/>
        <v>0.2306026082335868</v>
      </c>
      <c r="L29" s="1">
        <f t="shared" si="1"/>
        <v>0.34907532661706597</v>
      </c>
      <c r="M29" t="str">
        <f t="shared" si="2"/>
        <v>Non-Critical</v>
      </c>
      <c r="N29">
        <v>7273</v>
      </c>
    </row>
    <row r="30" spans="1:20" x14ac:dyDescent="0.2">
      <c r="A30" t="s">
        <v>1051</v>
      </c>
      <c r="B30" t="s">
        <v>281</v>
      </c>
      <c r="C30" t="s">
        <v>274</v>
      </c>
      <c r="D30" s="1">
        <v>0.54369765378059265</v>
      </c>
      <c r="E30" s="1">
        <v>0.43911832000543682</v>
      </c>
      <c r="F30" s="1">
        <v>0.16014473935456938</v>
      </c>
      <c r="G30" s="1">
        <v>0.11931818181818188</v>
      </c>
      <c r="H30" s="11">
        <v>0.11</v>
      </c>
      <c r="I30" s="1">
        <v>0.33522727272727271</v>
      </c>
      <c r="J30" s="3">
        <v>0</v>
      </c>
      <c r="K30" s="1">
        <f t="shared" si="0"/>
        <v>0.21178295256248936</v>
      </c>
      <c r="L30" s="1">
        <f t="shared" si="1"/>
        <v>0.22337460072944751</v>
      </c>
      <c r="M30" t="str">
        <f t="shared" si="2"/>
        <v>Non-Critical</v>
      </c>
      <c r="N30">
        <v>12594</v>
      </c>
    </row>
    <row r="31" spans="1:20" x14ac:dyDescent="0.2">
      <c r="A31" t="s">
        <v>1067</v>
      </c>
      <c r="B31" t="s">
        <v>526</v>
      </c>
      <c r="C31" t="s">
        <v>18</v>
      </c>
      <c r="D31" s="1">
        <v>0.79020357831957544</v>
      </c>
      <c r="E31" s="1">
        <v>0</v>
      </c>
      <c r="F31" s="1">
        <v>0.5985790848207726</v>
      </c>
      <c r="G31" s="1">
        <v>0.76190476190476186</v>
      </c>
      <c r="H31" s="11">
        <v>0.88</v>
      </c>
      <c r="I31" s="1">
        <v>0.84523809523809523</v>
      </c>
      <c r="J31" s="3">
        <v>0</v>
      </c>
      <c r="K31" s="1">
        <f t="shared" si="0"/>
        <v>0.77761444111014688</v>
      </c>
      <c r="L31" s="1">
        <f t="shared" si="1"/>
        <v>0.30476190476190479</v>
      </c>
      <c r="M31" t="str">
        <f t="shared" si="2"/>
        <v>Leverage</v>
      </c>
      <c r="N31">
        <v>120892</v>
      </c>
    </row>
    <row r="32" spans="1:20" x14ac:dyDescent="0.2">
      <c r="A32" t="s">
        <v>1063</v>
      </c>
      <c r="B32" t="s">
        <v>526</v>
      </c>
      <c r="C32" t="s">
        <v>274</v>
      </c>
      <c r="D32" s="1">
        <v>0.81187538595002051</v>
      </c>
      <c r="E32" s="1">
        <v>0.51333167206578612</v>
      </c>
      <c r="F32" s="1">
        <v>0.50711921113426417</v>
      </c>
      <c r="G32" s="1">
        <v>0.8035714285714286</v>
      </c>
      <c r="H32" s="11">
        <v>0.88</v>
      </c>
      <c r="I32" s="1">
        <v>0.9107142857142857</v>
      </c>
      <c r="J32" s="3">
        <v>0</v>
      </c>
      <c r="K32" s="1">
        <f t="shared" si="0"/>
        <v>0.75451084053028339</v>
      </c>
      <c r="L32" s="1">
        <f t="shared" si="1"/>
        <v>0.52676124025488591</v>
      </c>
      <c r="M32" t="str">
        <f t="shared" si="2"/>
        <v>Strategic</v>
      </c>
      <c r="N32">
        <v>75422</v>
      </c>
    </row>
    <row r="33" spans="1:14" x14ac:dyDescent="0.2">
      <c r="A33" t="s">
        <v>1056</v>
      </c>
      <c r="B33" t="s">
        <v>526</v>
      </c>
      <c r="C33" t="s">
        <v>527</v>
      </c>
      <c r="D33" s="1">
        <v>0.77543852186756712</v>
      </c>
      <c r="E33" s="1">
        <v>0.55818589583852463</v>
      </c>
      <c r="F33" s="1">
        <v>0.65844872663823895</v>
      </c>
      <c r="G33" s="1">
        <v>0.79464285714285721</v>
      </c>
      <c r="H33" s="11">
        <v>0.85</v>
      </c>
      <c r="I33" s="1">
        <v>0.8839285714285714</v>
      </c>
      <c r="J33" s="3">
        <v>0</v>
      </c>
      <c r="K33" s="1">
        <f t="shared" si="0"/>
        <v>0.77762232236498519</v>
      </c>
      <c r="L33" s="1">
        <f t="shared" si="1"/>
        <v>0.54113150119255282</v>
      </c>
      <c r="M33" t="str">
        <f t="shared" si="2"/>
        <v>Strategic</v>
      </c>
      <c r="N33">
        <v>164636</v>
      </c>
    </row>
    <row r="34" spans="1:14" x14ac:dyDescent="0.2">
      <c r="A34" t="s">
        <v>1062</v>
      </c>
      <c r="B34" t="s">
        <v>534</v>
      </c>
      <c r="C34" t="s">
        <v>18</v>
      </c>
      <c r="D34" s="1">
        <v>0.80696411685272007</v>
      </c>
      <c r="E34" s="1">
        <v>0.50037378519810605</v>
      </c>
      <c r="F34" s="1">
        <v>0.58457553563994857</v>
      </c>
      <c r="G34" s="1">
        <v>0.80952380952380953</v>
      </c>
      <c r="H34" s="11">
        <v>0.81</v>
      </c>
      <c r="I34" s="1">
        <v>0.89285714285714279</v>
      </c>
      <c r="J34" s="3">
        <v>0</v>
      </c>
      <c r="K34" s="1">
        <f t="shared" si="0"/>
        <v>0.74176548406252862</v>
      </c>
      <c r="L34" s="1">
        <f t="shared" si="1"/>
        <v>0.52395903788876619</v>
      </c>
      <c r="M34" t="str">
        <f t="shared" si="2"/>
        <v>Strategic</v>
      </c>
      <c r="N34">
        <v>112467</v>
      </c>
    </row>
    <row r="35" spans="1:14" x14ac:dyDescent="0.2">
      <c r="A35" t="s">
        <v>1059</v>
      </c>
      <c r="B35" t="s">
        <v>534</v>
      </c>
      <c r="C35" t="s">
        <v>274</v>
      </c>
      <c r="D35" s="1">
        <v>0.78460743751987982</v>
      </c>
      <c r="E35" s="1">
        <v>0.46728133565910779</v>
      </c>
      <c r="F35" s="1">
        <v>0.56332323981634469</v>
      </c>
      <c r="G35" s="1">
        <v>0.88749999999999996</v>
      </c>
      <c r="H35" s="11">
        <v>0.81</v>
      </c>
      <c r="I35" s="1">
        <v>0.9</v>
      </c>
      <c r="J35" s="3">
        <v>0</v>
      </c>
      <c r="K35" s="1">
        <f t="shared" si="0"/>
        <v>0.73091845944887934</v>
      </c>
      <c r="L35" s="1">
        <f t="shared" si="1"/>
        <v>0.54191253426364305</v>
      </c>
      <c r="M35" t="str">
        <f t="shared" si="2"/>
        <v>Strategic</v>
      </c>
      <c r="N35">
        <v>100789</v>
      </c>
    </row>
    <row r="36" spans="1:14" x14ac:dyDescent="0.2">
      <c r="A36" t="s">
        <v>1066</v>
      </c>
      <c r="B36" t="s">
        <v>534</v>
      </c>
      <c r="C36" t="s">
        <v>527</v>
      </c>
      <c r="D36" s="1">
        <v>0.80311842784888721</v>
      </c>
      <c r="E36" s="1">
        <v>0.28748672078901472</v>
      </c>
      <c r="F36" s="1">
        <v>0.54318039430584464</v>
      </c>
      <c r="G36" s="1">
        <v>0.88157894736842102</v>
      </c>
      <c r="H36" s="11">
        <v>0.87</v>
      </c>
      <c r="I36" s="1">
        <v>0.92105263157894735</v>
      </c>
      <c r="J36" s="3">
        <v>0</v>
      </c>
      <c r="K36" s="1">
        <f t="shared" si="0"/>
        <v>0.75857780386153084</v>
      </c>
      <c r="L36" s="1">
        <f t="shared" si="1"/>
        <v>0.46762626726297429</v>
      </c>
      <c r="M36" t="str">
        <f t="shared" si="2"/>
        <v>Strategic</v>
      </c>
      <c r="N36">
        <v>90842</v>
      </c>
    </row>
    <row r="37" spans="1:14" x14ac:dyDescent="0.2">
      <c r="A37" t="s">
        <v>1086</v>
      </c>
      <c r="B37" t="s">
        <v>784</v>
      </c>
      <c r="C37" t="s">
        <v>527</v>
      </c>
      <c r="D37" s="1">
        <v>0.99499359325511871</v>
      </c>
      <c r="E37" s="1">
        <v>0.18924701616298756</v>
      </c>
      <c r="F37" s="1">
        <v>0.94901222701677346</v>
      </c>
      <c r="G37" s="1">
        <v>0.84913793103448276</v>
      </c>
      <c r="H37" s="11">
        <v>0.17</v>
      </c>
      <c r="I37" s="1">
        <v>0.875</v>
      </c>
      <c r="J37" s="3">
        <v>1</v>
      </c>
      <c r="K37" s="1">
        <f t="shared" si="0"/>
        <v>0.56870238675605578</v>
      </c>
      <c r="L37" s="1">
        <f t="shared" si="1"/>
        <v>0.61535397887898813</v>
      </c>
      <c r="M37" t="str">
        <f t="shared" si="2"/>
        <v>Strategic</v>
      </c>
      <c r="N37">
        <v>737022</v>
      </c>
    </row>
  </sheetData>
  <mergeCells count="2">
    <mergeCell ref="P8:P10"/>
    <mergeCell ref="P11:P13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H19"/>
  <sheetViews>
    <sheetView showGridLines="0" zoomScale="131" zoomScaleNormal="131" workbookViewId="0">
      <selection activeCell="H7" sqref="H7"/>
    </sheetView>
  </sheetViews>
  <sheetFormatPr baseColWidth="10" defaultRowHeight="16" x14ac:dyDescent="0.2"/>
  <cols>
    <col min="1" max="1" width="20.33203125" bestFit="1" customWidth="1"/>
    <col min="2" max="2" width="12.83203125" bestFit="1" customWidth="1"/>
    <col min="5" max="5" width="12.83203125" bestFit="1" customWidth="1"/>
    <col min="6" max="6" width="13" bestFit="1" customWidth="1"/>
    <col min="7" max="7" width="17.1640625" bestFit="1" customWidth="1"/>
    <col min="10" max="10" width="24" bestFit="1" customWidth="1"/>
  </cols>
  <sheetData>
    <row r="1" spans="1:8" x14ac:dyDescent="0.2">
      <c r="A1" s="35"/>
      <c r="B1" s="37" t="s">
        <v>1084</v>
      </c>
      <c r="C1" s="37"/>
      <c r="D1" s="37"/>
      <c r="E1" s="37"/>
      <c r="F1" s="37"/>
      <c r="G1" s="37"/>
    </row>
    <row r="2" spans="1:8" x14ac:dyDescent="0.2">
      <c r="A2" s="36" t="s">
        <v>1082</v>
      </c>
      <c r="B2" s="32" t="s">
        <v>13</v>
      </c>
      <c r="C2" s="8" t="s">
        <v>28</v>
      </c>
      <c r="D2" s="8" t="s">
        <v>18</v>
      </c>
      <c r="E2" s="8" t="s">
        <v>274</v>
      </c>
      <c r="F2" s="8" t="s">
        <v>527</v>
      </c>
      <c r="G2" s="8" t="s">
        <v>1118</v>
      </c>
      <c r="H2" s="1"/>
    </row>
    <row r="3" spans="1:8" x14ac:dyDescent="0.2">
      <c r="A3" s="12" t="s">
        <v>285</v>
      </c>
      <c r="B3" s="27"/>
      <c r="C3" s="27"/>
      <c r="D3" s="27">
        <v>0.21840903609255441</v>
      </c>
      <c r="E3" s="27">
        <v>0.28451682678039575</v>
      </c>
      <c r="F3" s="27"/>
      <c r="G3" s="18">
        <v>0.26</v>
      </c>
      <c r="H3" s="1"/>
    </row>
    <row r="4" spans="1:8" x14ac:dyDescent="0.2">
      <c r="A4" s="8" t="s">
        <v>17</v>
      </c>
      <c r="B4" s="27">
        <v>0.25840559323438583</v>
      </c>
      <c r="C4" s="27">
        <v>0.26183856730470634</v>
      </c>
      <c r="D4" s="27">
        <v>0.26782731184706127</v>
      </c>
      <c r="E4" s="27"/>
      <c r="F4" s="27"/>
      <c r="G4" s="18">
        <v>0.26</v>
      </c>
      <c r="H4" s="1"/>
    </row>
    <row r="5" spans="1:8" x14ac:dyDescent="0.2">
      <c r="A5" s="8" t="s">
        <v>270</v>
      </c>
      <c r="B5" s="27"/>
      <c r="C5" s="27"/>
      <c r="D5" s="27">
        <v>0.27871938022509557</v>
      </c>
      <c r="E5" s="27">
        <v>0.28657879238478506</v>
      </c>
      <c r="F5" s="27"/>
      <c r="G5" s="18">
        <v>0.28000000000000003</v>
      </c>
      <c r="H5" s="1"/>
    </row>
    <row r="6" spans="1:8" x14ac:dyDescent="0.2">
      <c r="A6" s="8" t="s">
        <v>21</v>
      </c>
      <c r="B6" s="27">
        <v>0.26866974308408437</v>
      </c>
      <c r="C6" s="27">
        <v>0.30683590702326374</v>
      </c>
      <c r="D6" s="27">
        <v>0.27046791093728056</v>
      </c>
      <c r="E6" s="27"/>
      <c r="F6" s="27"/>
      <c r="G6" s="18">
        <v>0.28000000000000003</v>
      </c>
      <c r="H6" s="1"/>
    </row>
    <row r="7" spans="1:8" x14ac:dyDescent="0.2">
      <c r="A7" s="8" t="s">
        <v>273</v>
      </c>
      <c r="B7" s="27"/>
      <c r="C7" s="27"/>
      <c r="D7" s="27">
        <v>0.29793361697593912</v>
      </c>
      <c r="E7" s="27">
        <v>0.2544503058456809</v>
      </c>
      <c r="F7" s="27"/>
      <c r="G7" s="18">
        <v>0.28000000000000003</v>
      </c>
      <c r="H7" s="1"/>
    </row>
    <row r="8" spans="1:8" x14ac:dyDescent="0.2">
      <c r="A8" s="8" t="s">
        <v>281</v>
      </c>
      <c r="B8" s="27"/>
      <c r="C8" s="27"/>
      <c r="D8" s="27">
        <v>0.31044949435087643</v>
      </c>
      <c r="E8" s="27">
        <v>0.26654944420557403</v>
      </c>
      <c r="F8" s="27"/>
      <c r="G8" s="18">
        <v>0.28000000000000003</v>
      </c>
      <c r="H8" s="1"/>
    </row>
    <row r="9" spans="1:8" x14ac:dyDescent="0.2">
      <c r="A9" s="8" t="s">
        <v>23</v>
      </c>
      <c r="B9" s="27">
        <v>0.26675766213505386</v>
      </c>
      <c r="C9" s="27">
        <v>0.35262871469288692</v>
      </c>
      <c r="D9" s="27">
        <v>0.25399823500443086</v>
      </c>
      <c r="E9" s="27"/>
      <c r="F9" s="27"/>
      <c r="G9" s="18">
        <v>0.28999999999999998</v>
      </c>
      <c r="H9" s="1"/>
    </row>
    <row r="10" spans="1:8" x14ac:dyDescent="0.2">
      <c r="A10" s="8" t="s">
        <v>12</v>
      </c>
      <c r="B10" s="27">
        <v>0.28208086618912281</v>
      </c>
      <c r="C10" s="27">
        <v>0.28060763415582141</v>
      </c>
      <c r="D10" s="27">
        <v>0.32567301202043802</v>
      </c>
      <c r="E10" s="27"/>
      <c r="F10" s="27"/>
      <c r="G10" s="18">
        <v>0.28999999999999998</v>
      </c>
      <c r="H10" s="1"/>
    </row>
    <row r="11" spans="1:8" x14ac:dyDescent="0.2">
      <c r="A11" s="8" t="s">
        <v>526</v>
      </c>
      <c r="B11" s="27"/>
      <c r="C11" s="27"/>
      <c r="D11" s="27">
        <v>0.57863710219655473</v>
      </c>
      <c r="E11" s="27">
        <v>0.65904985252715453</v>
      </c>
      <c r="F11" s="27">
        <v>0.67267218345931368</v>
      </c>
      <c r="G11" s="18">
        <v>0.64</v>
      </c>
      <c r="H11" s="1"/>
    </row>
    <row r="12" spans="1:8" x14ac:dyDescent="0.2">
      <c r="A12" s="8" t="s">
        <v>534</v>
      </c>
      <c r="B12" s="27"/>
      <c r="C12" s="27"/>
      <c r="D12" s="27">
        <v>0.65634950721053797</v>
      </c>
      <c r="E12" s="27">
        <v>0.6561371738252938</v>
      </c>
      <c r="F12" s="27">
        <v>0.64006585809716432</v>
      </c>
      <c r="G12" s="18">
        <v>0.65</v>
      </c>
      <c r="H12" s="1"/>
    </row>
    <row r="13" spans="1:8" x14ac:dyDescent="0.2">
      <c r="A13" s="8" t="s">
        <v>532</v>
      </c>
      <c r="B13" s="27"/>
      <c r="C13" s="27"/>
      <c r="D13" s="27">
        <v>0.60108116863515026</v>
      </c>
      <c r="E13" s="27">
        <v>0.69843493841196325</v>
      </c>
      <c r="F13" s="27">
        <v>0.70144708267467248</v>
      </c>
      <c r="G13" s="18">
        <v>0.67</v>
      </c>
      <c r="H13" s="1"/>
    </row>
    <row r="14" spans="1:8" x14ac:dyDescent="0.2">
      <c r="A14" s="8" t="s">
        <v>530</v>
      </c>
      <c r="B14" s="27"/>
      <c r="C14" s="27"/>
      <c r="D14" s="27">
        <v>0.669462097732621</v>
      </c>
      <c r="E14" s="27">
        <v>0.6329115633221164</v>
      </c>
      <c r="F14" s="27">
        <v>0.69558908066227432</v>
      </c>
      <c r="G14" s="18">
        <v>0.67</v>
      </c>
      <c r="H14" s="1"/>
    </row>
    <row r="15" spans="1:8" x14ac:dyDescent="0.2">
      <c r="A15" s="8" t="s">
        <v>784</v>
      </c>
      <c r="B15" s="27"/>
      <c r="C15" s="27"/>
      <c r="D15" s="27"/>
      <c r="E15" s="27"/>
      <c r="F15" s="27">
        <v>0.71010829478316029</v>
      </c>
      <c r="G15" s="18">
        <v>0.71</v>
      </c>
      <c r="H15" s="1"/>
    </row>
    <row r="16" spans="1:8" x14ac:dyDescent="0.2">
      <c r="A16" s="8" t="s">
        <v>782</v>
      </c>
      <c r="B16" s="27"/>
      <c r="C16" s="27"/>
      <c r="D16" s="27">
        <v>0.74966943149051302</v>
      </c>
      <c r="E16" s="27"/>
      <c r="F16" s="27"/>
      <c r="G16" s="18">
        <v>0.75</v>
      </c>
      <c r="H16" s="1"/>
    </row>
    <row r="17" spans="1:8" x14ac:dyDescent="0.2">
      <c r="A17" s="8" t="s">
        <v>793</v>
      </c>
      <c r="B17" s="27"/>
      <c r="C17" s="27"/>
      <c r="D17" s="27"/>
      <c r="E17" s="27">
        <v>0.74719126719879758</v>
      </c>
      <c r="F17" s="27"/>
      <c r="G17" s="18">
        <v>0.75</v>
      </c>
      <c r="H17" s="1"/>
    </row>
    <row r="18" spans="1:8" x14ac:dyDescent="0.2">
      <c r="A18" s="33" t="s">
        <v>788</v>
      </c>
      <c r="B18" s="27"/>
      <c r="C18" s="27"/>
      <c r="D18" s="27"/>
      <c r="E18" s="27"/>
      <c r="F18" s="27">
        <v>0.75717707726872463</v>
      </c>
      <c r="G18" s="18">
        <v>0.76</v>
      </c>
    </row>
    <row r="19" spans="1:8" x14ac:dyDescent="0.2">
      <c r="A19" s="34" t="s">
        <v>1119</v>
      </c>
      <c r="B19" s="10">
        <f>AVERAGE(B3:B18)</f>
        <v>0.26897846616066168</v>
      </c>
      <c r="C19" s="10">
        <f>AVERAGE(C3:C18)</f>
        <v>0.3004777057941696</v>
      </c>
      <c r="D19" s="10">
        <f>AVERAGE(D3:D18)</f>
        <v>0.42143671574761943</v>
      </c>
      <c r="E19" s="10">
        <f>AVERAGE(E3:E18)</f>
        <v>0.49842446272241797</v>
      </c>
      <c r="F19" s="10">
        <f>AVERAGE(F3:F18)</f>
        <v>0.69617659615755156</v>
      </c>
    </row>
  </sheetData>
  <sortState xmlns:xlrd2="http://schemas.microsoft.com/office/spreadsheetml/2017/richdata2" ref="A3:G41">
    <sortCondition ref="G2:G41"/>
  </sortState>
  <mergeCells count="1">
    <mergeCell ref="B1:G1"/>
  </mergeCells>
  <conditionalFormatting sqref="D3:F18">
    <cfRule type="expression" dxfId="2" priority="1">
      <formula>D3&gt;$G3</formula>
    </cfRule>
  </conditionalFormatting>
  <conditionalFormatting sqref="B3:B18">
    <cfRule type="expression" dxfId="1" priority="3">
      <formula>B3&gt;$G3</formula>
    </cfRule>
  </conditionalFormatting>
  <conditionalFormatting sqref="C3:C18">
    <cfRule type="expression" dxfId="0" priority="5">
      <formula>C3&gt;$G3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A6315-AC6C-654F-859B-522EEAFE46E5}">
  <sheetPr>
    <tabColor theme="2" tint="-0.249977111117893"/>
  </sheetPr>
  <dimension ref="A3:I40"/>
  <sheetViews>
    <sheetView zoomScale="94" workbookViewId="0">
      <selection activeCell="I47" sqref="I47"/>
    </sheetView>
  </sheetViews>
  <sheetFormatPr baseColWidth="10" defaultRowHeight="16" x14ac:dyDescent="0.2"/>
  <cols>
    <col min="1" max="1" width="29.33203125" bestFit="1" customWidth="1"/>
    <col min="2" max="2" width="13" bestFit="1" customWidth="1"/>
    <col min="3" max="3" width="13.83203125" bestFit="1" customWidth="1"/>
    <col min="4" max="4" width="19.33203125" bestFit="1" customWidth="1"/>
    <col min="5" max="5" width="18" bestFit="1" customWidth="1"/>
    <col min="6" max="6" width="14.83203125" bestFit="1" customWidth="1"/>
    <col min="7" max="7" width="16.5" bestFit="1" customWidth="1"/>
    <col min="8" max="8" width="23.83203125" bestFit="1" customWidth="1"/>
    <col min="9" max="9" width="21.83203125" bestFit="1" customWidth="1"/>
    <col min="10" max="11" width="12.1640625" bestFit="1" customWidth="1"/>
    <col min="12" max="12" width="15.6640625" bestFit="1" customWidth="1"/>
    <col min="13" max="13" width="14.6640625" bestFit="1" customWidth="1"/>
    <col min="14" max="14" width="14.33203125" bestFit="1" customWidth="1"/>
    <col min="15" max="15" width="13.1640625" bestFit="1" customWidth="1"/>
    <col min="16" max="17" width="12.1640625" bestFit="1" customWidth="1"/>
    <col min="18" max="18" width="13.83203125" bestFit="1" customWidth="1"/>
    <col min="19" max="19" width="12.1640625" bestFit="1" customWidth="1"/>
    <col min="20" max="20" width="15.83203125" bestFit="1" customWidth="1"/>
    <col min="21" max="21" width="17.1640625" bestFit="1" customWidth="1"/>
    <col min="22" max="22" width="15.5" bestFit="1" customWidth="1"/>
    <col min="23" max="23" width="15" bestFit="1" customWidth="1"/>
    <col min="24" max="24" width="17.1640625" bestFit="1" customWidth="1"/>
    <col min="25" max="27" width="12.1640625" bestFit="1" customWidth="1"/>
    <col min="28" max="28" width="15.6640625" bestFit="1" customWidth="1"/>
    <col min="29" max="29" width="14.6640625" bestFit="1" customWidth="1"/>
    <col min="30" max="30" width="14.33203125" bestFit="1" customWidth="1"/>
    <col min="31" max="31" width="13.1640625" bestFit="1" customWidth="1"/>
    <col min="32" max="33" width="12.1640625" bestFit="1" customWidth="1"/>
    <col min="34" max="34" width="19.33203125" bestFit="1" customWidth="1"/>
    <col min="35" max="35" width="12.1640625" bestFit="1" customWidth="1"/>
    <col min="36" max="36" width="15.83203125" bestFit="1" customWidth="1"/>
    <col min="37" max="37" width="17.1640625" bestFit="1" customWidth="1"/>
    <col min="38" max="38" width="15.5" bestFit="1" customWidth="1"/>
    <col min="39" max="39" width="15" bestFit="1" customWidth="1"/>
    <col min="40" max="40" width="17.1640625" bestFit="1" customWidth="1"/>
    <col min="41" max="43" width="12.1640625" bestFit="1" customWidth="1"/>
    <col min="44" max="44" width="15.6640625" bestFit="1" customWidth="1"/>
    <col min="45" max="45" width="14.6640625" bestFit="1" customWidth="1"/>
    <col min="46" max="46" width="14.33203125" bestFit="1" customWidth="1"/>
    <col min="47" max="47" width="13.1640625" bestFit="1" customWidth="1"/>
    <col min="48" max="49" width="12.1640625" bestFit="1" customWidth="1"/>
    <col min="50" max="50" width="18" bestFit="1" customWidth="1"/>
    <col min="51" max="51" width="9.1640625" bestFit="1" customWidth="1"/>
    <col min="52" max="52" width="15.83203125" bestFit="1" customWidth="1"/>
    <col min="53" max="53" width="17.1640625" bestFit="1" customWidth="1"/>
    <col min="54" max="54" width="15.5" bestFit="1" customWidth="1"/>
    <col min="55" max="55" width="15" bestFit="1" customWidth="1"/>
    <col min="56" max="56" width="17.1640625" bestFit="1" customWidth="1"/>
    <col min="57" max="57" width="11.83203125" bestFit="1" customWidth="1"/>
    <col min="58" max="58" width="9.6640625" bestFit="1" customWidth="1"/>
    <col min="59" max="59" width="9.83203125" bestFit="1" customWidth="1"/>
    <col min="60" max="60" width="15.6640625" bestFit="1" customWidth="1"/>
    <col min="61" max="61" width="14.6640625" bestFit="1" customWidth="1"/>
    <col min="62" max="62" width="14.33203125" bestFit="1" customWidth="1"/>
    <col min="63" max="63" width="13.1640625" bestFit="1" customWidth="1"/>
    <col min="64" max="64" width="11.5" bestFit="1" customWidth="1"/>
    <col min="65" max="65" width="8.83203125" bestFit="1" customWidth="1"/>
    <col min="66" max="66" width="14.83203125" bestFit="1" customWidth="1"/>
    <col min="67" max="67" width="9.1640625" bestFit="1" customWidth="1"/>
    <col min="68" max="68" width="15.83203125" bestFit="1" customWidth="1"/>
    <col min="69" max="69" width="17.1640625" bestFit="1" customWidth="1"/>
    <col min="70" max="70" width="15.5" bestFit="1" customWidth="1"/>
    <col min="71" max="71" width="15" bestFit="1" customWidth="1"/>
    <col min="72" max="72" width="17.1640625" bestFit="1" customWidth="1"/>
    <col min="73" max="75" width="12.1640625" bestFit="1" customWidth="1"/>
    <col min="76" max="76" width="15.6640625" bestFit="1" customWidth="1"/>
    <col min="77" max="77" width="14.6640625" bestFit="1" customWidth="1"/>
    <col min="78" max="78" width="14.33203125" bestFit="1" customWidth="1"/>
    <col min="79" max="79" width="13.1640625" bestFit="1" customWidth="1"/>
    <col min="80" max="81" width="12.1640625" bestFit="1" customWidth="1"/>
    <col min="82" max="82" width="16.5" bestFit="1" customWidth="1"/>
    <col min="83" max="83" width="12.1640625" bestFit="1" customWidth="1"/>
    <col min="84" max="84" width="15.83203125" bestFit="1" customWidth="1"/>
    <col min="85" max="85" width="17.1640625" bestFit="1" customWidth="1"/>
    <col min="86" max="86" width="15.5" bestFit="1" customWidth="1"/>
    <col min="87" max="87" width="15" bestFit="1" customWidth="1"/>
    <col min="88" max="88" width="17.1640625" bestFit="1" customWidth="1"/>
    <col min="89" max="91" width="12.1640625" bestFit="1" customWidth="1"/>
    <col min="92" max="92" width="15.6640625" bestFit="1" customWidth="1"/>
    <col min="93" max="93" width="14.6640625" bestFit="1" customWidth="1"/>
    <col min="94" max="94" width="14.33203125" bestFit="1" customWidth="1"/>
    <col min="95" max="95" width="13.1640625" bestFit="1" customWidth="1"/>
    <col min="96" max="97" width="12.1640625" bestFit="1" customWidth="1"/>
    <col min="98" max="98" width="23.83203125" bestFit="1" customWidth="1"/>
    <col min="99" max="99" width="9.1640625" bestFit="1" customWidth="1"/>
    <col min="100" max="100" width="15.83203125" bestFit="1" customWidth="1"/>
    <col min="101" max="101" width="17.1640625" bestFit="1" customWidth="1"/>
    <col min="102" max="102" width="15.5" bestFit="1" customWidth="1"/>
    <col min="103" max="103" width="15" bestFit="1" customWidth="1"/>
    <col min="104" max="104" width="17.1640625" bestFit="1" customWidth="1"/>
    <col min="105" max="107" width="12.1640625" bestFit="1" customWidth="1"/>
    <col min="108" max="108" width="15.6640625" bestFit="1" customWidth="1"/>
    <col min="109" max="109" width="14.6640625" bestFit="1" customWidth="1"/>
    <col min="110" max="110" width="14.33203125" bestFit="1" customWidth="1"/>
    <col min="111" max="111" width="13.1640625" bestFit="1" customWidth="1"/>
    <col min="112" max="112" width="12.1640625" bestFit="1" customWidth="1"/>
    <col min="113" max="113" width="8.83203125" bestFit="1" customWidth="1"/>
    <col min="114" max="114" width="21.83203125" bestFit="1" customWidth="1"/>
    <col min="115" max="115" width="9.1640625" bestFit="1" customWidth="1"/>
    <col min="116" max="116" width="15.83203125" bestFit="1" customWidth="1"/>
    <col min="117" max="117" width="17.1640625" bestFit="1" customWidth="1"/>
    <col min="118" max="118" width="15.5" bestFit="1" customWidth="1"/>
    <col min="119" max="119" width="15" bestFit="1" customWidth="1"/>
    <col min="120" max="120" width="17.1640625" bestFit="1" customWidth="1"/>
    <col min="121" max="121" width="11.83203125" bestFit="1" customWidth="1"/>
    <col min="122" max="122" width="9.6640625" bestFit="1" customWidth="1"/>
    <col min="123" max="123" width="9.83203125" bestFit="1" customWidth="1"/>
    <col min="124" max="124" width="15.6640625" bestFit="1" customWidth="1"/>
    <col min="125" max="125" width="14.6640625" bestFit="1" customWidth="1"/>
    <col min="126" max="126" width="14.33203125" bestFit="1" customWidth="1"/>
    <col min="127" max="127" width="13.1640625" bestFit="1" customWidth="1"/>
    <col min="128" max="128" width="11.5" bestFit="1" customWidth="1"/>
    <col min="129" max="129" width="8.83203125" bestFit="1" customWidth="1"/>
    <col min="130" max="130" width="13.33203125" bestFit="1" customWidth="1"/>
    <col min="131" max="131" width="18.33203125" bestFit="1" customWidth="1"/>
    <col min="132" max="132" width="23.83203125" bestFit="1" customWidth="1"/>
    <col min="133" max="133" width="22.5" bestFit="1" customWidth="1"/>
    <col min="134" max="134" width="19.33203125" bestFit="1" customWidth="1"/>
    <col min="135" max="135" width="20.83203125" bestFit="1" customWidth="1"/>
    <col min="136" max="136" width="28.33203125" bestFit="1" customWidth="1"/>
    <col min="137" max="137" width="26.1640625" bestFit="1" customWidth="1"/>
  </cols>
  <sheetData>
    <row r="3" spans="1:9" x14ac:dyDescent="0.2">
      <c r="A3" s="4" t="s">
        <v>1035</v>
      </c>
      <c r="B3" t="s">
        <v>1069</v>
      </c>
      <c r="C3" t="s">
        <v>1070</v>
      </c>
      <c r="D3" t="s">
        <v>1071</v>
      </c>
      <c r="E3" t="s">
        <v>1072</v>
      </c>
      <c r="F3" t="s">
        <v>1073</v>
      </c>
      <c r="G3" t="s">
        <v>1074</v>
      </c>
      <c r="H3" t="s">
        <v>1075</v>
      </c>
      <c r="I3" t="s">
        <v>1076</v>
      </c>
    </row>
    <row r="4" spans="1:9" x14ac:dyDescent="0.2">
      <c r="A4" s="5" t="s">
        <v>1046</v>
      </c>
      <c r="B4">
        <v>317.49124999999998</v>
      </c>
      <c r="C4">
        <v>34.875</v>
      </c>
      <c r="D4">
        <v>10.221759877829257</v>
      </c>
      <c r="E4">
        <v>8725</v>
      </c>
      <c r="F4">
        <v>4.5</v>
      </c>
      <c r="G4">
        <v>4.4375</v>
      </c>
      <c r="H4">
        <v>4.6875</v>
      </c>
      <c r="I4">
        <v>0</v>
      </c>
    </row>
    <row r="5" spans="1:9" x14ac:dyDescent="0.2">
      <c r="A5" s="5" t="s">
        <v>1039</v>
      </c>
      <c r="B5">
        <v>337.30958333333331</v>
      </c>
      <c r="C5">
        <v>50.916666666666664</v>
      </c>
      <c r="D5">
        <v>22.583025828164736</v>
      </c>
      <c r="E5">
        <v>10964</v>
      </c>
      <c r="F5">
        <v>4.25</v>
      </c>
      <c r="G5">
        <v>4.375</v>
      </c>
      <c r="H5">
        <v>4.666666666666667</v>
      </c>
      <c r="I5">
        <v>0</v>
      </c>
    </row>
    <row r="6" spans="1:9" x14ac:dyDescent="0.2">
      <c r="A6" s="5" t="s">
        <v>1041</v>
      </c>
      <c r="B6">
        <v>363.08352941176463</v>
      </c>
      <c r="C6">
        <v>44.941176470588232</v>
      </c>
      <c r="D6">
        <v>25.429187926788323</v>
      </c>
      <c r="E6">
        <v>7712</v>
      </c>
      <c r="F6">
        <v>4.4117647058823533</v>
      </c>
      <c r="G6">
        <v>4.4117647058823533</v>
      </c>
      <c r="H6">
        <v>4.4705882352941178</v>
      </c>
      <c r="I6">
        <v>0</v>
      </c>
    </row>
    <row r="7" spans="1:9" x14ac:dyDescent="0.2">
      <c r="A7" s="5" t="s">
        <v>1055</v>
      </c>
      <c r="B7">
        <v>187.19041666666666</v>
      </c>
      <c r="C7">
        <v>57.416666666666664</v>
      </c>
      <c r="D7">
        <v>22.757629978146277</v>
      </c>
      <c r="E7">
        <v>6649</v>
      </c>
      <c r="F7">
        <v>4.25</v>
      </c>
      <c r="G7">
        <v>1.7916666666666667</v>
      </c>
      <c r="H7">
        <v>3.5</v>
      </c>
      <c r="I7">
        <v>0</v>
      </c>
    </row>
    <row r="8" spans="1:9" x14ac:dyDescent="0.2">
      <c r="A8" s="5" t="s">
        <v>1052</v>
      </c>
      <c r="B8">
        <v>194.64200000000002</v>
      </c>
      <c r="C8">
        <v>47.875</v>
      </c>
      <c r="D8">
        <v>23.161592669762587</v>
      </c>
      <c r="E8">
        <v>10483</v>
      </c>
      <c r="F8">
        <v>4.25</v>
      </c>
      <c r="G8">
        <v>1.55</v>
      </c>
      <c r="H8">
        <v>3.25</v>
      </c>
      <c r="I8">
        <v>0</v>
      </c>
    </row>
    <row r="9" spans="1:9" x14ac:dyDescent="0.2">
      <c r="A9" s="5" t="s">
        <v>1085</v>
      </c>
      <c r="B9">
        <v>29.25957142857143</v>
      </c>
      <c r="C9">
        <v>49.214285714285715</v>
      </c>
      <c r="D9">
        <v>22.900338648240155</v>
      </c>
      <c r="E9">
        <v>958759</v>
      </c>
      <c r="F9">
        <v>1.5714285714285714</v>
      </c>
      <c r="G9">
        <v>1.6428571428571428</v>
      </c>
      <c r="H9">
        <v>1.5142857142857142</v>
      </c>
      <c r="I9">
        <v>1</v>
      </c>
    </row>
    <row r="10" spans="1:9" x14ac:dyDescent="0.2">
      <c r="A10" s="5" t="s">
        <v>1048</v>
      </c>
      <c r="B10">
        <v>205.45999999999998</v>
      </c>
      <c r="C10">
        <v>45.428571428571431</v>
      </c>
      <c r="D10">
        <v>20.481283973356721</v>
      </c>
      <c r="E10">
        <v>5513</v>
      </c>
      <c r="F10">
        <v>4.0952380952380949</v>
      </c>
      <c r="G10">
        <v>1.7142857142857142</v>
      </c>
      <c r="H10">
        <v>3.5714285714285716</v>
      </c>
      <c r="I10">
        <v>0</v>
      </c>
    </row>
    <row r="11" spans="1:9" x14ac:dyDescent="0.2">
      <c r="A11" s="5" t="s">
        <v>1054</v>
      </c>
      <c r="B11">
        <v>206.48264705882357</v>
      </c>
      <c r="C11">
        <v>44.264705882352942</v>
      </c>
      <c r="D11">
        <v>23.038725484981118</v>
      </c>
      <c r="E11">
        <v>8531</v>
      </c>
      <c r="F11">
        <v>4.4117647058823533</v>
      </c>
      <c r="G11">
        <v>1.7352941176470589</v>
      </c>
      <c r="H11">
        <v>3.5588235294117645</v>
      </c>
      <c r="I11">
        <v>0</v>
      </c>
    </row>
    <row r="12" spans="1:9" x14ac:dyDescent="0.2">
      <c r="A12" s="5" t="s">
        <v>1044</v>
      </c>
      <c r="B12">
        <v>344.49949999999995</v>
      </c>
      <c r="C12">
        <v>41</v>
      </c>
      <c r="D12">
        <v>22.022715545545239</v>
      </c>
      <c r="E12">
        <v>13098</v>
      </c>
      <c r="F12">
        <v>4.4000000000000004</v>
      </c>
      <c r="G12">
        <v>4.0999999999999996</v>
      </c>
      <c r="H12">
        <v>4.5</v>
      </c>
      <c r="I12">
        <v>0</v>
      </c>
    </row>
    <row r="13" spans="1:9" x14ac:dyDescent="0.2">
      <c r="A13" s="5" t="s">
        <v>1038</v>
      </c>
      <c r="B13">
        <v>340.44076923076932</v>
      </c>
      <c r="C13">
        <v>46.92307692307692</v>
      </c>
      <c r="D13">
        <v>21.808472377854009</v>
      </c>
      <c r="E13">
        <v>14591</v>
      </c>
      <c r="F13">
        <v>4.5384615384615383</v>
      </c>
      <c r="G13">
        <v>4.1538461538461542</v>
      </c>
      <c r="H13">
        <v>4.5384615384615383</v>
      </c>
      <c r="I13">
        <v>0</v>
      </c>
    </row>
    <row r="14" spans="1:9" x14ac:dyDescent="0.2">
      <c r="A14" s="5" t="s">
        <v>1040</v>
      </c>
      <c r="B14">
        <v>375.9355555555556</v>
      </c>
      <c r="C14">
        <v>41.055555555555557</v>
      </c>
      <c r="D14">
        <v>24.712732260971656</v>
      </c>
      <c r="E14">
        <v>10115</v>
      </c>
      <c r="F14">
        <v>4.4444444444444446</v>
      </c>
      <c r="G14">
        <v>3.8333333333333335</v>
      </c>
      <c r="H14">
        <v>4.5</v>
      </c>
      <c r="I14">
        <v>0</v>
      </c>
    </row>
    <row r="15" spans="1:9" x14ac:dyDescent="0.2">
      <c r="A15" s="5" t="s">
        <v>1088</v>
      </c>
      <c r="B15">
        <v>29.808125</v>
      </c>
      <c r="C15">
        <v>48.1875</v>
      </c>
      <c r="D15">
        <v>24.986793386707308</v>
      </c>
      <c r="E15">
        <v>702487</v>
      </c>
      <c r="F15">
        <v>1.546875</v>
      </c>
      <c r="G15">
        <v>1.6875</v>
      </c>
      <c r="H15">
        <v>1.59375</v>
      </c>
      <c r="I15">
        <v>1</v>
      </c>
    </row>
    <row r="16" spans="1:9" x14ac:dyDescent="0.2">
      <c r="A16" s="5" t="s">
        <v>1058</v>
      </c>
      <c r="B16">
        <v>95.706842105263178</v>
      </c>
      <c r="C16">
        <v>58</v>
      </c>
      <c r="D16">
        <v>21.3368966322363</v>
      </c>
      <c r="E16">
        <v>107480</v>
      </c>
      <c r="F16">
        <v>1.4736842105263157</v>
      </c>
      <c r="G16">
        <v>4.4736842105263159</v>
      </c>
      <c r="H16">
        <v>1.5789473684210527</v>
      </c>
      <c r="I16">
        <v>0</v>
      </c>
    </row>
    <row r="17" spans="1:9" x14ac:dyDescent="0.2">
      <c r="A17" s="5" t="s">
        <v>1060</v>
      </c>
      <c r="B17">
        <v>104.58571428571427</v>
      </c>
      <c r="C17">
        <v>42.666666666666664</v>
      </c>
      <c r="D17">
        <v>20.895051438155747</v>
      </c>
      <c r="E17">
        <v>118479</v>
      </c>
      <c r="F17">
        <v>1.3809523809523809</v>
      </c>
      <c r="G17">
        <v>4.4285714285714288</v>
      </c>
      <c r="H17">
        <v>1.5238095238095237</v>
      </c>
      <c r="I17">
        <v>0</v>
      </c>
    </row>
    <row r="18" spans="1:9" x14ac:dyDescent="0.2">
      <c r="A18" s="5" t="s">
        <v>1064</v>
      </c>
      <c r="B18">
        <v>95.381739130434767</v>
      </c>
      <c r="C18">
        <v>43.521739130434781</v>
      </c>
      <c r="D18">
        <v>20.857424004556748</v>
      </c>
      <c r="E18">
        <v>133113</v>
      </c>
      <c r="F18">
        <v>1.6086956521739131</v>
      </c>
      <c r="G18">
        <v>4.6086956521739131</v>
      </c>
      <c r="H18">
        <v>1.4347826086956521</v>
      </c>
      <c r="I18">
        <v>0</v>
      </c>
    </row>
    <row r="19" spans="1:9" x14ac:dyDescent="0.2">
      <c r="A19" s="5" t="s">
        <v>1043</v>
      </c>
      <c r="B19">
        <v>372.05391304347825</v>
      </c>
      <c r="C19">
        <v>47.521739130434781</v>
      </c>
      <c r="D19">
        <v>21.169850516441272</v>
      </c>
      <c r="E19">
        <v>12193</v>
      </c>
      <c r="F19">
        <v>4.0869565217391308</v>
      </c>
      <c r="G19">
        <v>4.2608695652173916</v>
      </c>
      <c r="H19">
        <v>4.6521739130434785</v>
      </c>
      <c r="I19">
        <v>0</v>
      </c>
    </row>
    <row r="20" spans="1:9" x14ac:dyDescent="0.2">
      <c r="A20" s="5" t="s">
        <v>1037</v>
      </c>
      <c r="B20">
        <v>336.68791666666664</v>
      </c>
      <c r="C20">
        <v>52.125</v>
      </c>
      <c r="D20">
        <v>25.025507820355347</v>
      </c>
      <c r="E20">
        <v>14982</v>
      </c>
      <c r="F20">
        <v>4.041666666666667</v>
      </c>
      <c r="G20">
        <v>4.375</v>
      </c>
      <c r="H20">
        <v>4.5</v>
      </c>
      <c r="I20">
        <v>0</v>
      </c>
    </row>
    <row r="21" spans="1:9" x14ac:dyDescent="0.2">
      <c r="A21" s="5" t="s">
        <v>1045</v>
      </c>
      <c r="B21">
        <v>353.42066666666665</v>
      </c>
      <c r="C21">
        <v>48</v>
      </c>
      <c r="D21">
        <v>24.30912037350042</v>
      </c>
      <c r="E21">
        <v>7428</v>
      </c>
      <c r="F21">
        <v>4.5333333333333332</v>
      </c>
      <c r="G21">
        <v>4.5999999999999996</v>
      </c>
      <c r="H21">
        <v>4.333333333333333</v>
      </c>
      <c r="I21">
        <v>0</v>
      </c>
    </row>
    <row r="22" spans="1:9" x14ac:dyDescent="0.2">
      <c r="A22" s="5" t="s">
        <v>1087</v>
      </c>
      <c r="B22">
        <v>29.715862068965524</v>
      </c>
      <c r="C22">
        <v>46.344827586206897</v>
      </c>
      <c r="D22">
        <v>23.492149623561289</v>
      </c>
      <c r="E22">
        <v>775639</v>
      </c>
      <c r="F22">
        <v>1.6724137931034482</v>
      </c>
      <c r="G22">
        <v>1.6896551724137931</v>
      </c>
      <c r="H22">
        <v>1.5862068965517242</v>
      </c>
      <c r="I22">
        <v>1</v>
      </c>
    </row>
    <row r="23" spans="1:9" x14ac:dyDescent="0.2">
      <c r="A23" s="5" t="s">
        <v>1061</v>
      </c>
      <c r="B23">
        <v>95.406666666666666</v>
      </c>
      <c r="C23">
        <v>44.733333333333334</v>
      </c>
      <c r="D23">
        <v>24.477109488027562</v>
      </c>
      <c r="E23">
        <v>76628</v>
      </c>
      <c r="F23">
        <v>1.8</v>
      </c>
      <c r="G23">
        <v>4.666666666666667</v>
      </c>
      <c r="H23">
        <v>1.6</v>
      </c>
      <c r="I23">
        <v>0</v>
      </c>
    </row>
    <row r="24" spans="1:9" x14ac:dyDescent="0.2">
      <c r="A24" s="5" t="s">
        <v>1065</v>
      </c>
      <c r="B24">
        <v>101.48695652173915</v>
      </c>
      <c r="C24">
        <v>51.521739130434781</v>
      </c>
      <c r="D24">
        <v>24.55671264859896</v>
      </c>
      <c r="E24">
        <v>133939</v>
      </c>
      <c r="F24">
        <v>1.7826086956521738</v>
      </c>
      <c r="G24">
        <v>4.5217391304347823</v>
      </c>
      <c r="H24">
        <v>1.6521739130434783</v>
      </c>
      <c r="I24">
        <v>0</v>
      </c>
    </row>
    <row r="25" spans="1:9" x14ac:dyDescent="0.2">
      <c r="A25" s="5" t="s">
        <v>1057</v>
      </c>
      <c r="B25">
        <v>104.86807692307691</v>
      </c>
      <c r="C25">
        <v>40.884615384615387</v>
      </c>
      <c r="D25">
        <v>22.075616418045644</v>
      </c>
      <c r="E25">
        <v>139944</v>
      </c>
      <c r="F25">
        <v>1.8076923076923077</v>
      </c>
      <c r="G25">
        <v>4.4615384615384617</v>
      </c>
      <c r="H25">
        <v>1.6923076923076923</v>
      </c>
      <c r="I25">
        <v>0</v>
      </c>
    </row>
    <row r="26" spans="1:9" x14ac:dyDescent="0.2">
      <c r="A26" s="5" t="s">
        <v>1050</v>
      </c>
      <c r="B26">
        <v>195.29655172413788</v>
      </c>
      <c r="C26">
        <v>44.068965517241381</v>
      </c>
      <c r="D26">
        <v>22.062499052625178</v>
      </c>
      <c r="E26">
        <v>8446</v>
      </c>
      <c r="F26">
        <v>4.3448275862068968</v>
      </c>
      <c r="G26">
        <v>1.7931034482758621</v>
      </c>
      <c r="H26">
        <v>3.6206896551724137</v>
      </c>
      <c r="I26">
        <v>0</v>
      </c>
    </row>
    <row r="27" spans="1:9" x14ac:dyDescent="0.2">
      <c r="A27" s="5" t="s">
        <v>1049</v>
      </c>
      <c r="B27">
        <v>208.97066666666666</v>
      </c>
      <c r="C27">
        <v>48.966666666666669</v>
      </c>
      <c r="D27">
        <v>22.827590518687881</v>
      </c>
      <c r="E27">
        <v>8508</v>
      </c>
      <c r="F27">
        <v>4.4000000000000004</v>
      </c>
      <c r="G27">
        <v>1.6333333333333333</v>
      </c>
      <c r="H27">
        <v>3.5</v>
      </c>
      <c r="I27">
        <v>0</v>
      </c>
    </row>
    <row r="28" spans="1:9" x14ac:dyDescent="0.2">
      <c r="A28" s="5" t="s">
        <v>1042</v>
      </c>
      <c r="B28">
        <v>337.91874999999999</v>
      </c>
      <c r="C28">
        <v>45.375</v>
      </c>
      <c r="D28">
        <v>23.656944892920272</v>
      </c>
      <c r="E28">
        <v>12197</v>
      </c>
      <c r="F28">
        <v>4.541666666666667</v>
      </c>
      <c r="G28">
        <v>4.375</v>
      </c>
      <c r="H28">
        <v>4.666666666666667</v>
      </c>
      <c r="I28">
        <v>0</v>
      </c>
    </row>
    <row r="29" spans="1:9" x14ac:dyDescent="0.2">
      <c r="A29" s="5" t="s">
        <v>1047</v>
      </c>
      <c r="B29">
        <v>348.08235294117645</v>
      </c>
      <c r="C29">
        <v>39.058823529411768</v>
      </c>
      <c r="D29">
        <v>21.561050362483826</v>
      </c>
      <c r="E29">
        <v>9261</v>
      </c>
      <c r="F29">
        <v>4.117647058823529</v>
      </c>
      <c r="G29">
        <v>4.2941176470588234</v>
      </c>
      <c r="H29">
        <v>4.4117647058823533</v>
      </c>
      <c r="I29">
        <v>0</v>
      </c>
    </row>
    <row r="30" spans="1:9" x14ac:dyDescent="0.2">
      <c r="A30" s="5" t="s">
        <v>1036</v>
      </c>
      <c r="B30">
        <v>364.78499999999997</v>
      </c>
      <c r="C30">
        <v>45.653846153846153</v>
      </c>
      <c r="D30">
        <v>26.778209148617474</v>
      </c>
      <c r="E30">
        <v>15381</v>
      </c>
      <c r="F30">
        <v>4.384615384615385</v>
      </c>
      <c r="G30">
        <v>4.3461538461538458</v>
      </c>
      <c r="H30">
        <v>4.4230769230769234</v>
      </c>
      <c r="I30">
        <v>0</v>
      </c>
    </row>
    <row r="31" spans="1:9" x14ac:dyDescent="0.2">
      <c r="A31" s="5" t="s">
        <v>1053</v>
      </c>
      <c r="B31">
        <v>203.48178571428573</v>
      </c>
      <c r="C31">
        <v>42.821428571428569</v>
      </c>
      <c r="D31">
        <v>23.294778034432298</v>
      </c>
      <c r="E31">
        <v>7273</v>
      </c>
      <c r="F31">
        <v>4.1785714285714288</v>
      </c>
      <c r="G31">
        <v>1.9285714285714286</v>
      </c>
      <c r="H31">
        <v>3.5</v>
      </c>
      <c r="I31">
        <v>0</v>
      </c>
    </row>
    <row r="32" spans="1:9" x14ac:dyDescent="0.2">
      <c r="A32" s="5" t="s">
        <v>1051</v>
      </c>
      <c r="B32">
        <v>187.44863636363635</v>
      </c>
      <c r="C32">
        <v>48.272727272727273</v>
      </c>
      <c r="D32">
        <v>23.790146581729278</v>
      </c>
      <c r="E32">
        <v>12594</v>
      </c>
      <c r="F32">
        <v>4.5227272727272725</v>
      </c>
      <c r="G32">
        <v>1.4318181818181819</v>
      </c>
      <c r="H32">
        <v>3.6590909090909092</v>
      </c>
      <c r="I32">
        <v>0</v>
      </c>
    </row>
    <row r="33" spans="1:9" x14ac:dyDescent="0.2">
      <c r="A33" s="5" t="s">
        <v>1067</v>
      </c>
      <c r="B33">
        <v>101.99095238095238</v>
      </c>
      <c r="C33">
        <v>58.761904761904759</v>
      </c>
      <c r="D33">
        <v>24.844094367541565</v>
      </c>
      <c r="E33">
        <v>120892</v>
      </c>
      <c r="F33">
        <v>1.9523809523809523</v>
      </c>
      <c r="G33">
        <v>4.5238095238095237</v>
      </c>
      <c r="H33">
        <v>1.6190476190476191</v>
      </c>
      <c r="I33">
        <v>0</v>
      </c>
    </row>
    <row r="34" spans="1:9" x14ac:dyDescent="0.2">
      <c r="A34" s="5" t="s">
        <v>1063</v>
      </c>
      <c r="B34">
        <v>94.477857142857147</v>
      </c>
      <c r="C34">
        <v>46.5</v>
      </c>
      <c r="D34">
        <v>24.256810531124184</v>
      </c>
      <c r="E34">
        <v>75422</v>
      </c>
      <c r="F34">
        <v>1.7857142857142858</v>
      </c>
      <c r="G34">
        <v>4.5</v>
      </c>
      <c r="H34">
        <v>1.3571428571428572</v>
      </c>
      <c r="I34">
        <v>0</v>
      </c>
    </row>
    <row r="35" spans="1:9" x14ac:dyDescent="0.2">
      <c r="A35" s="5" t="s">
        <v>1056</v>
      </c>
      <c r="B35">
        <v>107.10964285714284</v>
      </c>
      <c r="C35">
        <v>45.428571428571431</v>
      </c>
      <c r="D35">
        <v>16.365094760819819</v>
      </c>
      <c r="E35">
        <v>164636</v>
      </c>
      <c r="F35">
        <v>1.8214285714285714</v>
      </c>
      <c r="G35">
        <v>4.3928571428571432</v>
      </c>
      <c r="H35">
        <v>1.4642857142857142</v>
      </c>
      <c r="I35">
        <v>0</v>
      </c>
    </row>
    <row r="36" spans="1:9" x14ac:dyDescent="0.2">
      <c r="A36" s="5" t="s">
        <v>1062</v>
      </c>
      <c r="B36">
        <v>96.180476190476213</v>
      </c>
      <c r="C36">
        <v>46.80952380952381</v>
      </c>
      <c r="D36">
        <v>26.998446247390657</v>
      </c>
      <c r="E36">
        <v>112467</v>
      </c>
      <c r="F36">
        <v>1.7619047619047619</v>
      </c>
      <c r="G36">
        <v>4.2380952380952381</v>
      </c>
      <c r="H36">
        <v>1.4285714285714286</v>
      </c>
      <c r="I36">
        <v>0</v>
      </c>
    </row>
    <row r="37" spans="1:9" x14ac:dyDescent="0.2">
      <c r="A37" s="5" t="s">
        <v>1059</v>
      </c>
      <c r="B37">
        <v>103.93100000000001</v>
      </c>
      <c r="C37">
        <v>47.6</v>
      </c>
      <c r="D37">
        <v>29.50491484481865</v>
      </c>
      <c r="E37">
        <v>100789</v>
      </c>
      <c r="F37">
        <v>1.45</v>
      </c>
      <c r="G37">
        <v>4.25</v>
      </c>
      <c r="H37">
        <v>1.4</v>
      </c>
      <c r="I37">
        <v>0</v>
      </c>
    </row>
    <row r="38" spans="1:9" x14ac:dyDescent="0.2">
      <c r="A38" s="5" t="s">
        <v>1066</v>
      </c>
      <c r="B38">
        <v>97.513684210526321</v>
      </c>
      <c r="C38">
        <v>51.89473684210526</v>
      </c>
      <c r="D38">
        <v>26.028111800092539</v>
      </c>
      <c r="E38">
        <v>90842</v>
      </c>
      <c r="F38">
        <v>1.4736842105263157</v>
      </c>
      <c r="G38">
        <v>4.4736842105263159</v>
      </c>
      <c r="H38">
        <v>1.3157894736842106</v>
      </c>
      <c r="I38">
        <v>0</v>
      </c>
    </row>
    <row r="39" spans="1:9" x14ac:dyDescent="0.2">
      <c r="A39" s="5" t="s">
        <v>1086</v>
      </c>
      <c r="B39">
        <v>30.995172413793107</v>
      </c>
      <c r="C39">
        <v>54.241379310344826</v>
      </c>
      <c r="D39">
        <v>21.880010042886482</v>
      </c>
      <c r="E39">
        <v>737022</v>
      </c>
      <c r="F39">
        <v>1.603448275862069</v>
      </c>
      <c r="G39">
        <v>1.6896551724137931</v>
      </c>
      <c r="H39">
        <v>1.5</v>
      </c>
      <c r="I39">
        <v>1</v>
      </c>
    </row>
    <row r="40" spans="1:9" x14ac:dyDescent="0.2">
      <c r="A40" s="5" t="s">
        <v>1068</v>
      </c>
      <c r="B40">
        <v>169.39043999999967</v>
      </c>
      <c r="C40">
        <v>47.508000000000003</v>
      </c>
      <c r="D40">
        <v>23.618635354312914</v>
      </c>
      <c r="E40">
        <v>4753182</v>
      </c>
      <c r="F40">
        <v>2.988</v>
      </c>
      <c r="G40">
        <v>3.024</v>
      </c>
      <c r="H40">
        <v>2.778</v>
      </c>
      <c r="I4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0FA2F-29EA-674C-88FF-1C82FFEF9690}">
  <sheetPr>
    <tabColor theme="2" tint="-0.249977111117893"/>
  </sheetPr>
  <dimension ref="A1:W37"/>
  <sheetViews>
    <sheetView zoomScale="93" workbookViewId="0">
      <selection activeCell="D60" sqref="D60"/>
    </sheetView>
  </sheetViews>
  <sheetFormatPr baseColWidth="10" defaultRowHeight="16" x14ac:dyDescent="0.2"/>
  <cols>
    <col min="1" max="1" width="29.33203125" bestFit="1" customWidth="1"/>
    <col min="2" max="2" width="16.5" bestFit="1" customWidth="1"/>
    <col min="3" max="3" width="12.83203125" bestFit="1" customWidth="1"/>
  </cols>
  <sheetData>
    <row r="1" spans="1:23" x14ac:dyDescent="0.2">
      <c r="A1" s="6" t="s">
        <v>1035</v>
      </c>
      <c r="B1" s="6" t="s">
        <v>1082</v>
      </c>
      <c r="C1" s="6" t="s">
        <v>1084</v>
      </c>
      <c r="D1" s="6" t="s">
        <v>1069</v>
      </c>
      <c r="E1" s="6" t="s">
        <v>1089</v>
      </c>
      <c r="F1" s="6" t="s">
        <v>1070</v>
      </c>
      <c r="G1" s="6" t="s">
        <v>1077</v>
      </c>
      <c r="H1" s="6" t="s">
        <v>1072</v>
      </c>
      <c r="I1" s="6" t="s">
        <v>1090</v>
      </c>
      <c r="J1" s="6" t="s">
        <v>1073</v>
      </c>
      <c r="K1" s="6" t="s">
        <v>1078</v>
      </c>
      <c r="L1" s="6" t="s">
        <v>1074</v>
      </c>
      <c r="M1" s="6" t="s">
        <v>1079</v>
      </c>
      <c r="N1" s="6" t="s">
        <v>1075</v>
      </c>
      <c r="O1" s="6" t="s">
        <v>1091</v>
      </c>
      <c r="P1" s="6" t="s">
        <v>9</v>
      </c>
      <c r="Q1" s="6"/>
      <c r="R1" s="6"/>
      <c r="S1" s="6"/>
      <c r="T1" s="6"/>
      <c r="U1" s="6"/>
      <c r="V1" s="6"/>
      <c r="W1" s="6"/>
    </row>
    <row r="2" spans="1:23" x14ac:dyDescent="0.2">
      <c r="A2" t="s">
        <v>1046</v>
      </c>
      <c r="B2" t="s">
        <v>23</v>
      </c>
      <c r="C2" t="s">
        <v>28</v>
      </c>
      <c r="D2" s="1">
        <v>317.49124999999998</v>
      </c>
      <c r="E2" s="1">
        <f>1-(D2-MIN($D$2:$D$37))/(MAX($D$2:$D$37)-MIN($D$2:$D$37))</f>
        <v>0.16858481184594554</v>
      </c>
      <c r="F2" s="1">
        <v>34.875</v>
      </c>
      <c r="G2" s="1">
        <f>1-(F2-MIN($F$2:$F$37))/(MAX($F$2:$F$37)-MIN($F$2:$F$37))</f>
        <v>1</v>
      </c>
      <c r="H2" s="3">
        <v>8725</v>
      </c>
      <c r="I2" s="1">
        <f>(LN(H2)-LN(MIN($H$2:$H$37)))/(LN(MAX($H$2:$H$37))-LN(MIN($H$2:$H$37)))</f>
        <v>8.8995015491318885E-2</v>
      </c>
      <c r="J2" s="1">
        <v>4.5</v>
      </c>
      <c r="K2" s="1">
        <f>1-((J2-1)/4)</f>
        <v>0.125</v>
      </c>
      <c r="L2" s="1">
        <v>4.4375</v>
      </c>
      <c r="M2" s="1">
        <f>(L2-1)/(4)</f>
        <v>0.859375</v>
      </c>
      <c r="N2" s="1">
        <v>4.6875</v>
      </c>
      <c r="O2" s="1">
        <f>1-((N2-1)/4)</f>
        <v>7.8125E-2</v>
      </c>
      <c r="P2" s="3">
        <v>0</v>
      </c>
      <c r="Q2" s="2"/>
      <c r="R2" s="2"/>
      <c r="S2" s="2"/>
      <c r="T2" s="2"/>
      <c r="U2" s="2"/>
      <c r="V2" s="2"/>
    </row>
    <row r="3" spans="1:23" x14ac:dyDescent="0.2">
      <c r="A3" t="s">
        <v>1039</v>
      </c>
      <c r="B3" t="s">
        <v>23</v>
      </c>
      <c r="C3" t="s">
        <v>18</v>
      </c>
      <c r="D3" s="1">
        <v>337.30958333333331</v>
      </c>
      <c r="E3" s="1">
        <f>1-(D3-MIN($D$2:$D$37))/(MAX($D$2:$D$37)-MIN($D$2:$D$37))</f>
        <v>0.11141807910199497</v>
      </c>
      <c r="F3" s="1">
        <v>50.916666666666664</v>
      </c>
      <c r="G3" s="1">
        <f t="shared" ref="G3:G37" si="0">1-(F3-MIN($F$2:$F$37))/(MAX($F$2:$F$37)-MIN($F$2:$F$37))</f>
        <v>0.32843259406927483</v>
      </c>
      <c r="H3" s="3">
        <v>10964</v>
      </c>
      <c r="I3" s="1">
        <f t="shared" ref="I3:I36" si="1">(LN(H3)-LN(MIN($H$2:$H$37)))/(LN(MAX($H$2:$H$37))-LN(MIN($H$2:$H$37)))</f>
        <v>0.13327597826871537</v>
      </c>
      <c r="J3" s="1">
        <v>4.25</v>
      </c>
      <c r="K3" s="1">
        <f t="shared" ref="K3:K37" si="2">1-((J3-1)/4)</f>
        <v>0.1875</v>
      </c>
      <c r="L3" s="1">
        <v>4.375</v>
      </c>
      <c r="M3" s="1">
        <f t="shared" ref="M3:M37" si="3">(L3-1)/(4)</f>
        <v>0.84375</v>
      </c>
      <c r="N3" s="1">
        <v>4.666666666666667</v>
      </c>
      <c r="O3" s="1">
        <f t="shared" ref="O3:O37" si="4">1-((N3-1)/4)</f>
        <v>8.3333333333333259E-2</v>
      </c>
      <c r="P3" s="3">
        <v>0</v>
      </c>
      <c r="Q3" s="2"/>
      <c r="R3" s="2"/>
      <c r="S3" s="2"/>
      <c r="T3" s="2"/>
      <c r="U3" s="2"/>
      <c r="V3" s="2"/>
    </row>
    <row r="4" spans="1:23" x14ac:dyDescent="0.2">
      <c r="A4" t="s">
        <v>1041</v>
      </c>
      <c r="B4" t="s">
        <v>23</v>
      </c>
      <c r="C4" t="s">
        <v>13</v>
      </c>
      <c r="D4" s="1">
        <v>363.08352941176463</v>
      </c>
      <c r="E4" s="1">
        <f t="shared" ref="E4:E37" si="5">1-(D4-MIN($D$2:$D$37))/(MAX($D$2:$D$37)-MIN($D$2:$D$37))</f>
        <v>3.7072155938795537E-2</v>
      </c>
      <c r="F4" s="1">
        <v>44.941176470588232</v>
      </c>
      <c r="G4" s="1">
        <f t="shared" si="0"/>
        <v>0.57859017018220205</v>
      </c>
      <c r="H4" s="3">
        <v>7712</v>
      </c>
      <c r="I4" s="1">
        <f t="shared" si="1"/>
        <v>6.5070585152704252E-2</v>
      </c>
      <c r="J4" s="1">
        <v>4.4117647058823533</v>
      </c>
      <c r="K4" s="1">
        <f t="shared" si="2"/>
        <v>0.14705882352941169</v>
      </c>
      <c r="L4" s="1">
        <v>4.4117647058823533</v>
      </c>
      <c r="M4" s="1">
        <f t="shared" si="3"/>
        <v>0.85294117647058831</v>
      </c>
      <c r="N4" s="1">
        <v>4.4705882352941178</v>
      </c>
      <c r="O4" s="1">
        <f t="shared" si="4"/>
        <v>0.13235294117647056</v>
      </c>
      <c r="P4" s="3">
        <v>0</v>
      </c>
      <c r="Q4" s="2"/>
      <c r="R4" s="2"/>
      <c r="S4" s="2"/>
      <c r="T4" s="2"/>
      <c r="U4" s="2"/>
      <c r="V4" s="2"/>
    </row>
    <row r="5" spans="1:23" x14ac:dyDescent="0.2">
      <c r="A5" t="s">
        <v>1055</v>
      </c>
      <c r="B5" t="s">
        <v>285</v>
      </c>
      <c r="C5" t="s">
        <v>18</v>
      </c>
      <c r="D5" s="1">
        <v>187.19041666666666</v>
      </c>
      <c r="E5" s="1">
        <f t="shared" si="5"/>
        <v>0.54444249827168112</v>
      </c>
      <c r="F5" s="1">
        <v>57.416666666666664</v>
      </c>
      <c r="G5" s="1">
        <f t="shared" si="0"/>
        <v>5.6316969847994058E-2</v>
      </c>
      <c r="H5" s="3">
        <v>6649</v>
      </c>
      <c r="I5" s="1">
        <f t="shared" si="1"/>
        <v>3.6319939740127136E-2</v>
      </c>
      <c r="J5" s="1">
        <v>4.25</v>
      </c>
      <c r="K5" s="1">
        <f t="shared" si="2"/>
        <v>0.1875</v>
      </c>
      <c r="L5" s="1">
        <v>1.7916666666666667</v>
      </c>
      <c r="M5" s="1">
        <f t="shared" si="3"/>
        <v>0.19791666666666669</v>
      </c>
      <c r="N5" s="1">
        <v>3.5</v>
      </c>
      <c r="O5" s="1">
        <f t="shared" si="4"/>
        <v>0.375</v>
      </c>
      <c r="P5" s="3">
        <v>0</v>
      </c>
      <c r="Q5" s="2"/>
      <c r="R5" s="2"/>
      <c r="S5" s="2"/>
      <c r="T5" s="2"/>
      <c r="U5" s="2"/>
      <c r="V5" s="2"/>
    </row>
    <row r="6" spans="1:23" x14ac:dyDescent="0.2">
      <c r="A6" t="s">
        <v>1052</v>
      </c>
      <c r="B6" t="s">
        <v>285</v>
      </c>
      <c r="C6" t="s">
        <v>274</v>
      </c>
      <c r="D6" s="1">
        <v>194.64200000000002</v>
      </c>
      <c r="E6" s="1">
        <f t="shared" si="5"/>
        <v>0.52294812405911983</v>
      </c>
      <c r="F6" s="1">
        <v>47.875</v>
      </c>
      <c r="G6" s="1">
        <f t="shared" si="0"/>
        <v>0.45576875155743823</v>
      </c>
      <c r="H6" s="3">
        <v>10483</v>
      </c>
      <c r="I6" s="1">
        <f t="shared" si="1"/>
        <v>0.12457926156637372</v>
      </c>
      <c r="J6" s="1">
        <v>4.25</v>
      </c>
      <c r="K6" s="1">
        <f t="shared" si="2"/>
        <v>0.1875</v>
      </c>
      <c r="L6" s="1">
        <v>1.55</v>
      </c>
      <c r="M6" s="1">
        <f t="shared" si="3"/>
        <v>0.13750000000000001</v>
      </c>
      <c r="N6" s="1">
        <v>3.25</v>
      </c>
      <c r="O6" s="1">
        <f t="shared" si="4"/>
        <v>0.4375</v>
      </c>
      <c r="P6" s="3">
        <v>0</v>
      </c>
      <c r="Q6" s="2"/>
      <c r="R6" s="2"/>
      <c r="S6" s="2"/>
      <c r="T6" s="2"/>
      <c r="U6" s="2"/>
      <c r="V6" s="2"/>
    </row>
    <row r="7" spans="1:23" x14ac:dyDescent="0.2">
      <c r="A7" t="s">
        <v>1085</v>
      </c>
      <c r="B7" t="s">
        <v>782</v>
      </c>
      <c r="C7" t="s">
        <v>18</v>
      </c>
      <c r="D7" s="1">
        <v>29.25957142857143</v>
      </c>
      <c r="E7" s="1">
        <f t="shared" si="5"/>
        <v>1</v>
      </c>
      <c r="F7" s="1">
        <v>49.214285714285715</v>
      </c>
      <c r="G7" s="1">
        <f t="shared" si="0"/>
        <v>0.39970097184151498</v>
      </c>
      <c r="H7" s="3">
        <v>958759</v>
      </c>
      <c r="I7" s="1">
        <f>(LN(H7)-LN(MIN($H$2:$H$37)))/(LN(MAX($H$2:$H$37))-LN(MIN($H$2:$H$37)))</f>
        <v>1</v>
      </c>
      <c r="J7" s="1">
        <v>1.5714285714285714</v>
      </c>
      <c r="K7" s="1">
        <f>1-((J7-1)/4)</f>
        <v>0.85714285714285721</v>
      </c>
      <c r="L7" s="1">
        <v>1.6428571428571428</v>
      </c>
      <c r="M7" s="1">
        <f t="shared" si="3"/>
        <v>0.1607142857142857</v>
      </c>
      <c r="N7" s="1">
        <v>1.5142857142857142</v>
      </c>
      <c r="O7" s="1">
        <f>1-((N7-1)/4)</f>
        <v>0.87142857142857144</v>
      </c>
      <c r="P7" s="3">
        <v>1</v>
      </c>
      <c r="Q7" s="2"/>
      <c r="R7" s="2"/>
      <c r="S7" s="2"/>
      <c r="T7" s="2"/>
      <c r="U7" s="2"/>
      <c r="V7" s="2"/>
    </row>
    <row r="8" spans="1:23" x14ac:dyDescent="0.2">
      <c r="A8" t="s">
        <v>1048</v>
      </c>
      <c r="B8" t="s">
        <v>270</v>
      </c>
      <c r="C8" t="s">
        <v>18</v>
      </c>
      <c r="D8" s="1">
        <v>205.45999999999998</v>
      </c>
      <c r="E8" s="1">
        <f t="shared" si="5"/>
        <v>0.49174319353229856</v>
      </c>
      <c r="F8" s="1">
        <v>45.428571428571431</v>
      </c>
      <c r="G8" s="1">
        <f t="shared" si="0"/>
        <v>0.55818589583852463</v>
      </c>
      <c r="H8" s="3">
        <v>5513</v>
      </c>
      <c r="I8" s="1">
        <f t="shared" si="1"/>
        <v>0</v>
      </c>
      <c r="J8" s="1">
        <v>4.0952380952380949</v>
      </c>
      <c r="K8" s="1">
        <f t="shared" si="2"/>
        <v>0.22619047619047628</v>
      </c>
      <c r="L8" s="1">
        <v>1.7142857142857142</v>
      </c>
      <c r="M8" s="1">
        <f t="shared" si="3"/>
        <v>0.17857142857142855</v>
      </c>
      <c r="N8" s="1">
        <v>3.5714285714285716</v>
      </c>
      <c r="O8" s="1">
        <f t="shared" si="4"/>
        <v>0.3571428571428571</v>
      </c>
      <c r="P8" s="3">
        <v>0</v>
      </c>
      <c r="Q8" s="2"/>
      <c r="R8" s="2"/>
      <c r="S8" s="2"/>
      <c r="T8" s="2"/>
      <c r="U8" s="2"/>
      <c r="V8" s="2"/>
    </row>
    <row r="9" spans="1:23" x14ac:dyDescent="0.2">
      <c r="A9" t="s">
        <v>1054</v>
      </c>
      <c r="B9" t="s">
        <v>270</v>
      </c>
      <c r="C9" t="s">
        <v>274</v>
      </c>
      <c r="D9" s="1">
        <v>206.482647058824</v>
      </c>
      <c r="E9" s="1">
        <f t="shared" si="5"/>
        <v>0.48879332937773556</v>
      </c>
      <c r="F9" s="1">
        <v>44.264705882352942</v>
      </c>
      <c r="G9" s="1">
        <f t="shared" si="0"/>
        <v>0.60690989577989174</v>
      </c>
      <c r="H9" s="3">
        <v>8531</v>
      </c>
      <c r="I9" s="1">
        <f t="shared" si="1"/>
        <v>8.4636045654242001E-2</v>
      </c>
      <c r="J9" s="1">
        <v>4.4117647058823533</v>
      </c>
      <c r="K9" s="1">
        <f t="shared" si="2"/>
        <v>0.14705882352941169</v>
      </c>
      <c r="L9" s="1">
        <v>1.7352941176470589</v>
      </c>
      <c r="M9" s="1">
        <f t="shared" si="3"/>
        <v>0.18382352941176472</v>
      </c>
      <c r="N9" s="1">
        <v>3.5588235294117645</v>
      </c>
      <c r="O9" s="1">
        <f t="shared" si="4"/>
        <v>0.36029411764705888</v>
      </c>
      <c r="P9" s="3">
        <v>0</v>
      </c>
      <c r="Q9" s="2"/>
      <c r="R9" s="2"/>
      <c r="S9" s="2"/>
      <c r="T9" s="2"/>
      <c r="U9" s="2"/>
      <c r="V9" s="2"/>
    </row>
    <row r="10" spans="1:23" x14ac:dyDescent="0.2">
      <c r="A10" t="s">
        <v>1044</v>
      </c>
      <c r="B10" t="s">
        <v>21</v>
      </c>
      <c r="C10" t="s">
        <v>28</v>
      </c>
      <c r="D10" s="1">
        <v>344.49949999999995</v>
      </c>
      <c r="E10" s="1">
        <f t="shared" si="5"/>
        <v>9.0678492295102053E-2</v>
      </c>
      <c r="F10" s="1">
        <v>41</v>
      </c>
      <c r="G10" s="1">
        <f t="shared" si="0"/>
        <v>0.74358335409917764</v>
      </c>
      <c r="H10" s="3">
        <v>13098</v>
      </c>
      <c r="I10" s="1">
        <f t="shared" si="1"/>
        <v>0.16775136966244469</v>
      </c>
      <c r="J10" s="1">
        <v>4.4000000000000004</v>
      </c>
      <c r="K10" s="1">
        <f>1-((J10-1)/4)</f>
        <v>0.14999999999999991</v>
      </c>
      <c r="L10" s="1">
        <v>4.0999999999999996</v>
      </c>
      <c r="M10" s="1">
        <f t="shared" si="3"/>
        <v>0.77499999999999991</v>
      </c>
      <c r="N10" s="1">
        <v>4.5</v>
      </c>
      <c r="O10" s="1">
        <f t="shared" si="4"/>
        <v>0.125</v>
      </c>
      <c r="P10" s="3">
        <v>0</v>
      </c>
      <c r="Q10" s="2"/>
      <c r="R10" s="2"/>
      <c r="S10" s="2"/>
      <c r="T10" s="2"/>
      <c r="U10" s="2"/>
      <c r="V10" s="2"/>
    </row>
    <row r="11" spans="1:23" x14ac:dyDescent="0.2">
      <c r="A11" t="s">
        <v>1038</v>
      </c>
      <c r="B11" t="s">
        <v>21</v>
      </c>
      <c r="C11" t="s">
        <v>18</v>
      </c>
      <c r="D11" s="1">
        <v>340.44076923076932</v>
      </c>
      <c r="E11" s="1">
        <f t="shared" si="5"/>
        <v>0.10238605484648988</v>
      </c>
      <c r="F11" s="1">
        <v>46.92307692307692</v>
      </c>
      <c r="G11" s="1">
        <f t="shared" si="0"/>
        <v>0.49562000421706387</v>
      </c>
      <c r="H11" s="3">
        <v>14591</v>
      </c>
      <c r="I11" s="1">
        <f t="shared" si="1"/>
        <v>0.18867696992846103</v>
      </c>
      <c r="J11" s="1">
        <v>4.5384615384615383</v>
      </c>
      <c r="K11" s="1">
        <f t="shared" si="2"/>
        <v>0.11538461538461542</v>
      </c>
      <c r="L11" s="1">
        <v>4.1538461538461542</v>
      </c>
      <c r="M11" s="1">
        <f t="shared" si="3"/>
        <v>0.78846153846153855</v>
      </c>
      <c r="N11" s="1">
        <v>4.5384615384615383</v>
      </c>
      <c r="O11" s="1">
        <f t="shared" si="4"/>
        <v>0.11538461538461542</v>
      </c>
      <c r="P11" s="3">
        <v>0</v>
      </c>
      <c r="Q11" s="2"/>
      <c r="R11" s="2"/>
      <c r="S11" s="2"/>
      <c r="T11" s="2"/>
      <c r="U11" s="2"/>
      <c r="V11" s="2"/>
    </row>
    <row r="12" spans="1:23" x14ac:dyDescent="0.2">
      <c r="A12" t="s">
        <v>1040</v>
      </c>
      <c r="B12" t="s">
        <v>21</v>
      </c>
      <c r="C12" t="s">
        <v>13</v>
      </c>
      <c r="D12" s="1">
        <v>375.9355555555556</v>
      </c>
      <c r="E12" s="1">
        <f t="shared" si="5"/>
        <v>0</v>
      </c>
      <c r="F12" s="1">
        <v>41.055555555555557</v>
      </c>
      <c r="G12" s="1">
        <f t="shared" si="0"/>
        <v>0.74125757953318372</v>
      </c>
      <c r="H12" s="3">
        <v>10115</v>
      </c>
      <c r="I12" s="1">
        <f t="shared" si="1"/>
        <v>0.11765181880515639</v>
      </c>
      <c r="J12" s="1">
        <v>4.4444444444444446</v>
      </c>
      <c r="K12" s="1">
        <f t="shared" si="2"/>
        <v>0.13888888888888884</v>
      </c>
      <c r="L12" s="1">
        <v>3.8333333333333335</v>
      </c>
      <c r="M12" s="1">
        <f t="shared" si="3"/>
        <v>0.70833333333333337</v>
      </c>
      <c r="N12" s="1">
        <v>4.5</v>
      </c>
      <c r="O12" s="1">
        <f t="shared" si="4"/>
        <v>0.125</v>
      </c>
      <c r="P12" s="3">
        <v>0</v>
      </c>
      <c r="Q12" s="2"/>
      <c r="R12" s="2"/>
      <c r="S12" s="2"/>
      <c r="T12" s="2"/>
      <c r="U12" s="2"/>
      <c r="V12" s="2"/>
    </row>
    <row r="13" spans="1:23" x14ac:dyDescent="0.2">
      <c r="A13" t="s">
        <v>1088</v>
      </c>
      <c r="B13" t="s">
        <v>793</v>
      </c>
      <c r="C13" t="s">
        <v>274</v>
      </c>
      <c r="D13" s="1">
        <v>29.808125</v>
      </c>
      <c r="E13" s="1">
        <f t="shared" si="5"/>
        <v>0.99841767645713919</v>
      </c>
      <c r="F13" s="1">
        <v>48.1875</v>
      </c>
      <c r="G13" s="1">
        <f t="shared" si="0"/>
        <v>0.44268626962372282</v>
      </c>
      <c r="H13" s="3">
        <v>702487</v>
      </c>
      <c r="I13" s="1">
        <f t="shared" si="1"/>
        <v>0.93970902642540899</v>
      </c>
      <c r="J13" s="1">
        <v>1.546875</v>
      </c>
      <c r="K13" s="1">
        <f t="shared" si="2"/>
        <v>0.86328125</v>
      </c>
      <c r="L13" s="1">
        <v>1.6875</v>
      </c>
      <c r="M13" s="1">
        <f t="shared" si="3"/>
        <v>0.171875</v>
      </c>
      <c r="N13" s="1">
        <v>1.59375</v>
      </c>
      <c r="O13" s="1">
        <f t="shared" si="4"/>
        <v>0.8515625</v>
      </c>
      <c r="P13" s="3">
        <v>1</v>
      </c>
      <c r="Q13" s="2"/>
      <c r="R13" s="2"/>
      <c r="S13" s="2"/>
      <c r="T13" s="2"/>
      <c r="U13" s="2"/>
      <c r="V13" s="2"/>
    </row>
    <row r="14" spans="1:23" x14ac:dyDescent="0.2">
      <c r="A14" t="s">
        <v>1058</v>
      </c>
      <c r="B14" t="s">
        <v>532</v>
      </c>
      <c r="C14" t="s">
        <v>18</v>
      </c>
      <c r="D14" s="1">
        <v>95.706842105263178</v>
      </c>
      <c r="E14" s="1">
        <f t="shared" si="5"/>
        <v>0.80833033230143592</v>
      </c>
      <c r="F14" s="1">
        <v>58</v>
      </c>
      <c r="G14" s="1">
        <f t="shared" si="0"/>
        <v>3.1896336905058442E-2</v>
      </c>
      <c r="H14" s="3">
        <v>107480</v>
      </c>
      <c r="I14" s="1">
        <f>(LN(H14)-LN(MIN($H$2:$H$37)))/(LN(MAX($H$2:$H$37))-LN(MIN($H$2:$H$37)))</f>
        <v>0.57578329162911701</v>
      </c>
      <c r="J14" s="1">
        <v>1.4736842105263157</v>
      </c>
      <c r="K14" s="1">
        <f t="shared" si="2"/>
        <v>0.88157894736842102</v>
      </c>
      <c r="L14" s="1">
        <v>4.4736842105263159</v>
      </c>
      <c r="M14" s="1">
        <f t="shared" si="3"/>
        <v>0.86842105263157898</v>
      </c>
      <c r="N14" s="1">
        <v>1.5789473684210527</v>
      </c>
      <c r="O14" s="1">
        <f t="shared" si="4"/>
        <v>0.85526315789473684</v>
      </c>
      <c r="P14" s="3">
        <v>0</v>
      </c>
      <c r="Q14" s="2"/>
      <c r="R14" s="2"/>
      <c r="S14" s="2"/>
      <c r="T14" s="2"/>
      <c r="U14" s="2"/>
      <c r="V14" s="2"/>
    </row>
    <row r="15" spans="1:23" x14ac:dyDescent="0.2">
      <c r="A15" t="s">
        <v>1060</v>
      </c>
      <c r="B15" t="s">
        <v>532</v>
      </c>
      <c r="C15" t="s">
        <v>274</v>
      </c>
      <c r="D15" s="1">
        <v>104.58571428571427</v>
      </c>
      <c r="E15" s="1">
        <f t="shared" si="5"/>
        <v>0.78271888937783596</v>
      </c>
      <c r="F15" s="1">
        <v>42.666666666666664</v>
      </c>
      <c r="G15" s="1">
        <f t="shared" si="0"/>
        <v>0.67381011711936212</v>
      </c>
      <c r="H15" s="3">
        <v>118479</v>
      </c>
      <c r="I15" s="1">
        <f t="shared" si="1"/>
        <v>0.59467063566296086</v>
      </c>
      <c r="J15" s="1">
        <v>1.3809523809523809</v>
      </c>
      <c r="K15" s="1">
        <f t="shared" si="2"/>
        <v>0.90476190476190477</v>
      </c>
      <c r="L15" s="1">
        <v>4.4285714285714288</v>
      </c>
      <c r="M15" s="1">
        <f t="shared" si="3"/>
        <v>0.85714285714285721</v>
      </c>
      <c r="N15" s="1">
        <v>1.5238095238095237</v>
      </c>
      <c r="O15" s="1">
        <f t="shared" si="4"/>
        <v>0.86904761904761907</v>
      </c>
      <c r="P15" s="3">
        <v>0</v>
      </c>
      <c r="Q15" s="2"/>
      <c r="R15" s="2"/>
      <c r="S15" s="2"/>
      <c r="T15" s="2"/>
      <c r="U15" s="2"/>
      <c r="V15" s="2"/>
    </row>
    <row r="16" spans="1:23" x14ac:dyDescent="0.2">
      <c r="A16" t="s">
        <v>1064</v>
      </c>
      <c r="B16" t="s">
        <v>532</v>
      </c>
      <c r="C16" t="s">
        <v>527</v>
      </c>
      <c r="D16" s="1">
        <v>95.381739130434767</v>
      </c>
      <c r="E16" s="1">
        <f t="shared" si="5"/>
        <v>0.80926810413944517</v>
      </c>
      <c r="F16" s="1">
        <v>43.521739130434781</v>
      </c>
      <c r="G16" s="1">
        <f t="shared" si="0"/>
        <v>0.63801341292971758</v>
      </c>
      <c r="H16" s="3">
        <v>133113</v>
      </c>
      <c r="I16" s="1">
        <f t="shared" si="1"/>
        <v>0.61724734720825902</v>
      </c>
      <c r="J16" s="1">
        <v>1.6086956521739131</v>
      </c>
      <c r="K16" s="1">
        <f t="shared" si="2"/>
        <v>0.84782608695652173</v>
      </c>
      <c r="L16" s="1">
        <v>4.6086956521739131</v>
      </c>
      <c r="M16" s="1">
        <f t="shared" si="3"/>
        <v>0.90217391304347827</v>
      </c>
      <c r="N16" s="1">
        <v>1.4347826086956521</v>
      </c>
      <c r="O16" s="1">
        <f t="shared" si="4"/>
        <v>0.89130434782608692</v>
      </c>
      <c r="P16" s="3">
        <v>0</v>
      </c>
      <c r="Q16" s="2"/>
      <c r="R16" s="2"/>
      <c r="S16" s="2"/>
      <c r="T16" s="2"/>
      <c r="U16" s="2"/>
      <c r="V16" s="2"/>
    </row>
    <row r="17" spans="1:22" x14ac:dyDescent="0.2">
      <c r="A17" t="s">
        <v>1043</v>
      </c>
      <c r="B17" t="s">
        <v>17</v>
      </c>
      <c r="C17" t="s">
        <v>28</v>
      </c>
      <c r="D17" s="1">
        <v>372.05391304347825</v>
      </c>
      <c r="E17" s="1">
        <f t="shared" si="5"/>
        <v>1.1196744769766176E-2</v>
      </c>
      <c r="F17" s="1">
        <v>47.521739130434781</v>
      </c>
      <c r="G17" s="1">
        <f t="shared" si="0"/>
        <v>0.47055764417816015</v>
      </c>
      <c r="H17" s="3">
        <v>12193</v>
      </c>
      <c r="I17" s="1">
        <f t="shared" si="1"/>
        <v>0.15387192743555625</v>
      </c>
      <c r="J17" s="1">
        <v>4.0869565217391308</v>
      </c>
      <c r="K17" s="1">
        <f t="shared" si="2"/>
        <v>0.22826086956521729</v>
      </c>
      <c r="L17" s="1">
        <v>4.2608695652173916</v>
      </c>
      <c r="M17" s="1">
        <f t="shared" si="3"/>
        <v>0.81521739130434789</v>
      </c>
      <c r="N17" s="1">
        <v>4.6521739130434785</v>
      </c>
      <c r="O17" s="1">
        <f t="shared" si="4"/>
        <v>8.6956521739130377E-2</v>
      </c>
      <c r="P17" s="3">
        <v>0</v>
      </c>
      <c r="Q17" s="2"/>
      <c r="R17" s="2"/>
      <c r="S17" s="2"/>
      <c r="T17" s="2"/>
      <c r="U17" s="2"/>
      <c r="V17" s="2"/>
    </row>
    <row r="18" spans="1:22" x14ac:dyDescent="0.2">
      <c r="A18" t="s">
        <v>1037</v>
      </c>
      <c r="B18" t="s">
        <v>17</v>
      </c>
      <c r="C18" t="s">
        <v>18</v>
      </c>
      <c r="D18" s="1">
        <v>336.68791666666664</v>
      </c>
      <c r="E18" s="1">
        <f t="shared" si="5"/>
        <v>0.11321130013584357</v>
      </c>
      <c r="F18" s="1">
        <v>52.125</v>
      </c>
      <c r="G18" s="1">
        <f t="shared" si="0"/>
        <v>0.27784699725890849</v>
      </c>
      <c r="H18" s="3">
        <v>14982</v>
      </c>
      <c r="I18" s="1">
        <f t="shared" si="1"/>
        <v>0.19380334820704193</v>
      </c>
      <c r="J18" s="1">
        <v>4.041666666666667</v>
      </c>
      <c r="K18" s="1">
        <f t="shared" si="2"/>
        <v>0.23958333333333326</v>
      </c>
      <c r="L18" s="1">
        <v>4.375</v>
      </c>
      <c r="M18" s="1">
        <f t="shared" si="3"/>
        <v>0.84375</v>
      </c>
      <c r="N18" s="1">
        <v>4.5</v>
      </c>
      <c r="O18" s="1">
        <f t="shared" si="4"/>
        <v>0.125</v>
      </c>
      <c r="P18" s="3">
        <v>0</v>
      </c>
      <c r="Q18" s="2"/>
      <c r="R18" s="2"/>
      <c r="S18" s="2"/>
      <c r="T18" s="2"/>
      <c r="U18" s="2"/>
      <c r="V18" s="2"/>
    </row>
    <row r="19" spans="1:22" x14ac:dyDescent="0.2">
      <c r="A19" t="s">
        <v>1045</v>
      </c>
      <c r="B19" t="s">
        <v>17</v>
      </c>
      <c r="C19" t="s">
        <v>13</v>
      </c>
      <c r="D19" s="1">
        <v>353.42066666666665</v>
      </c>
      <c r="E19" s="1">
        <f t="shared" si="5"/>
        <v>6.4945049324910742E-2</v>
      </c>
      <c r="F19" s="1">
        <v>48</v>
      </c>
      <c r="G19" s="1">
        <f t="shared" si="0"/>
        <v>0.45053575878395213</v>
      </c>
      <c r="H19" s="3">
        <v>7428</v>
      </c>
      <c r="I19" s="1">
        <f t="shared" si="1"/>
        <v>5.77970192342947E-2</v>
      </c>
      <c r="J19" s="1">
        <v>4.5333333333333332</v>
      </c>
      <c r="K19" s="1">
        <f t="shared" si="2"/>
        <v>0.1166666666666667</v>
      </c>
      <c r="L19" s="1">
        <v>4.5999999999999996</v>
      </c>
      <c r="M19" s="1">
        <f t="shared" si="3"/>
        <v>0.89999999999999991</v>
      </c>
      <c r="N19" s="1">
        <v>4.333333333333333</v>
      </c>
      <c r="O19" s="1">
        <f t="shared" si="4"/>
        <v>0.16666666666666674</v>
      </c>
      <c r="P19" s="3">
        <v>0</v>
      </c>
      <c r="Q19" s="2"/>
      <c r="R19" s="2"/>
      <c r="S19" s="2"/>
      <c r="T19" s="2"/>
      <c r="U19" s="2"/>
      <c r="V19" s="2"/>
    </row>
    <row r="20" spans="1:22" x14ac:dyDescent="0.2">
      <c r="A20" t="s">
        <v>1087</v>
      </c>
      <c r="B20" t="s">
        <v>788</v>
      </c>
      <c r="C20" t="s">
        <v>527</v>
      </c>
      <c r="D20" s="1">
        <v>29.715862068965524</v>
      </c>
      <c r="E20" s="1">
        <f t="shared" si="5"/>
        <v>0.99868381237441883</v>
      </c>
      <c r="F20" s="1">
        <v>46.344827586206897</v>
      </c>
      <c r="G20" s="1">
        <f t="shared" si="0"/>
        <v>0.51982780102597581</v>
      </c>
      <c r="H20" s="3">
        <v>775639</v>
      </c>
      <c r="I20" s="1">
        <f t="shared" si="1"/>
        <v>0.95891222863411363</v>
      </c>
      <c r="J20" s="1">
        <v>1.6724137931034482</v>
      </c>
      <c r="K20" s="1">
        <f t="shared" si="2"/>
        <v>0.8318965517241379</v>
      </c>
      <c r="L20" s="1">
        <v>1.6896551724137931</v>
      </c>
      <c r="M20" s="1">
        <f t="shared" si="3"/>
        <v>0.17241379310344829</v>
      </c>
      <c r="N20" s="1">
        <v>1.5862068965517242</v>
      </c>
      <c r="O20" s="1">
        <f t="shared" si="4"/>
        <v>0.85344827586206895</v>
      </c>
      <c r="P20" s="3">
        <v>1</v>
      </c>
      <c r="Q20" s="2"/>
      <c r="R20" s="2"/>
      <c r="S20" s="2"/>
      <c r="T20" s="2"/>
      <c r="U20" s="2"/>
      <c r="V20" s="2"/>
    </row>
    <row r="21" spans="1:22" x14ac:dyDescent="0.2">
      <c r="A21" t="s">
        <v>1061</v>
      </c>
      <c r="B21" t="s">
        <v>530</v>
      </c>
      <c r="C21" t="s">
        <v>18</v>
      </c>
      <c r="D21" s="1">
        <v>95.406666666666666</v>
      </c>
      <c r="E21" s="1">
        <f t="shared" si="5"/>
        <v>0.80919619971752599</v>
      </c>
      <c r="F21" s="1">
        <v>44.733333333333334</v>
      </c>
      <c r="G21" s="1">
        <f t="shared" si="0"/>
        <v>0.58729130326439072</v>
      </c>
      <c r="H21" s="3">
        <v>76628</v>
      </c>
      <c r="I21" s="1">
        <f t="shared" si="1"/>
        <v>0.51019441532971499</v>
      </c>
      <c r="J21" s="1">
        <v>1.8</v>
      </c>
      <c r="K21" s="1">
        <f t="shared" si="2"/>
        <v>0.8</v>
      </c>
      <c r="L21" s="1">
        <v>4.666666666666667</v>
      </c>
      <c r="M21" s="1">
        <f t="shared" si="3"/>
        <v>0.91666666666666674</v>
      </c>
      <c r="N21" s="1">
        <v>1.6</v>
      </c>
      <c r="O21" s="1">
        <f t="shared" si="4"/>
        <v>0.85</v>
      </c>
      <c r="P21" s="3">
        <v>0</v>
      </c>
      <c r="Q21" s="2"/>
      <c r="R21" s="2"/>
      <c r="S21" s="2"/>
      <c r="T21" s="2"/>
      <c r="U21" s="2"/>
      <c r="V21" s="2"/>
    </row>
    <row r="22" spans="1:22" x14ac:dyDescent="0.2">
      <c r="A22" t="s">
        <v>1065</v>
      </c>
      <c r="B22" t="s">
        <v>530</v>
      </c>
      <c r="C22" t="s">
        <v>274</v>
      </c>
      <c r="D22" s="1">
        <v>101.48695652173915</v>
      </c>
      <c r="E22" s="1">
        <f t="shared" si="5"/>
        <v>0.79165737345477183</v>
      </c>
      <c r="F22" s="1">
        <v>51.521739130434781</v>
      </c>
      <c r="G22" s="1">
        <f t="shared" si="0"/>
        <v>0.30310187542660261</v>
      </c>
      <c r="H22" s="3">
        <v>133939</v>
      </c>
      <c r="I22" s="1">
        <f t="shared" si="1"/>
        <v>0.61844654153476697</v>
      </c>
      <c r="J22" s="1">
        <v>1.7826086956521738</v>
      </c>
      <c r="K22" s="1">
        <f t="shared" si="2"/>
        <v>0.80434782608695654</v>
      </c>
      <c r="L22" s="1">
        <v>4.5217391304347823</v>
      </c>
      <c r="M22" s="1">
        <f t="shared" si="3"/>
        <v>0.88043478260869557</v>
      </c>
      <c r="N22" s="1">
        <v>1.6521739130434783</v>
      </c>
      <c r="O22" s="1">
        <f t="shared" si="4"/>
        <v>0.83695652173913038</v>
      </c>
      <c r="P22" s="3">
        <v>0</v>
      </c>
      <c r="Q22" s="2"/>
      <c r="R22" s="2"/>
      <c r="S22" s="2"/>
      <c r="T22" s="2"/>
      <c r="U22" s="2"/>
      <c r="V22" s="2"/>
    </row>
    <row r="23" spans="1:22" x14ac:dyDescent="0.2">
      <c r="A23" t="s">
        <v>1057</v>
      </c>
      <c r="B23" t="s">
        <v>530</v>
      </c>
      <c r="C23" t="s">
        <v>527</v>
      </c>
      <c r="D23" s="1">
        <v>104.86807692307691</v>
      </c>
      <c r="E23" s="1">
        <f t="shared" si="5"/>
        <v>0.78190440366122738</v>
      </c>
      <c r="F23" s="1">
        <v>40.884615384615387</v>
      </c>
      <c r="G23" s="1">
        <f t="shared" si="0"/>
        <v>0.74841380896701093</v>
      </c>
      <c r="H23" s="3">
        <v>139944</v>
      </c>
      <c r="I23" s="1">
        <f t="shared" si="1"/>
        <v>0.62694854954087331</v>
      </c>
      <c r="J23" s="1">
        <v>1.8076923076923077</v>
      </c>
      <c r="K23" s="1">
        <f t="shared" si="2"/>
        <v>0.79807692307692313</v>
      </c>
      <c r="L23" s="1">
        <v>4.4615384615384617</v>
      </c>
      <c r="M23" s="1">
        <f t="shared" si="3"/>
        <v>0.86538461538461542</v>
      </c>
      <c r="N23" s="1">
        <v>1.6923076923076923</v>
      </c>
      <c r="O23" s="1">
        <f t="shared" si="4"/>
        <v>0.82692307692307687</v>
      </c>
      <c r="P23" s="3">
        <v>0</v>
      </c>
      <c r="Q23" s="2"/>
      <c r="R23" s="2"/>
      <c r="S23" s="2"/>
      <c r="T23" s="2"/>
      <c r="U23" s="2"/>
      <c r="V23" s="2"/>
    </row>
    <row r="24" spans="1:22" x14ac:dyDescent="0.2">
      <c r="A24" t="s">
        <v>1050</v>
      </c>
      <c r="B24" t="s">
        <v>273</v>
      </c>
      <c r="C24" t="s">
        <v>18</v>
      </c>
      <c r="D24" s="1">
        <v>195.29655172413788</v>
      </c>
      <c r="E24" s="1">
        <f t="shared" si="5"/>
        <v>0.521060044832097</v>
      </c>
      <c r="F24" s="1">
        <v>44.068965517241381</v>
      </c>
      <c r="G24" s="1">
        <f t="shared" si="0"/>
        <v>0.61510435910875849</v>
      </c>
      <c r="H24" s="3">
        <v>8446</v>
      </c>
      <c r="I24" s="1">
        <f t="shared" si="1"/>
        <v>8.269486670183275E-2</v>
      </c>
      <c r="J24" s="1">
        <v>4.3448275862068968</v>
      </c>
      <c r="K24" s="1">
        <f t="shared" si="2"/>
        <v>0.1637931034482758</v>
      </c>
      <c r="L24" s="1">
        <v>1.7931034482758621</v>
      </c>
      <c r="M24" s="1">
        <f t="shared" si="3"/>
        <v>0.19827586206896552</v>
      </c>
      <c r="N24" s="1">
        <v>3.6206896551724137</v>
      </c>
      <c r="O24" s="1">
        <f t="shared" si="4"/>
        <v>0.34482758620689657</v>
      </c>
      <c r="P24" s="3">
        <v>0</v>
      </c>
      <c r="Q24" s="2"/>
      <c r="R24" s="2"/>
      <c r="S24" s="2"/>
      <c r="T24" s="2"/>
      <c r="U24" s="2"/>
      <c r="V24" s="2"/>
    </row>
    <row r="25" spans="1:22" x14ac:dyDescent="0.2">
      <c r="A25" t="s">
        <v>1049</v>
      </c>
      <c r="B25" t="s">
        <v>273</v>
      </c>
      <c r="C25" t="s">
        <v>274</v>
      </c>
      <c r="D25" s="1">
        <v>208.97066666666666</v>
      </c>
      <c r="E25" s="1">
        <f t="shared" si="5"/>
        <v>0.48161654263230214</v>
      </c>
      <c r="F25" s="1">
        <v>48.966666666666669</v>
      </c>
      <c r="G25" s="1">
        <f t="shared" si="0"/>
        <v>0.41006728133565895</v>
      </c>
      <c r="H25" s="3">
        <v>8508</v>
      </c>
      <c r="I25" s="1">
        <f t="shared" si="1"/>
        <v>8.411270079247761E-2</v>
      </c>
      <c r="J25" s="1">
        <v>4.4000000000000004</v>
      </c>
      <c r="K25" s="1">
        <f t="shared" si="2"/>
        <v>0.14999999999999991</v>
      </c>
      <c r="L25" s="1">
        <v>1.6333333333333333</v>
      </c>
      <c r="M25" s="1">
        <f t="shared" si="3"/>
        <v>0.15833333333333333</v>
      </c>
      <c r="N25" s="1">
        <v>3.5</v>
      </c>
      <c r="O25" s="1">
        <f t="shared" si="4"/>
        <v>0.375</v>
      </c>
      <c r="P25" s="3">
        <v>0</v>
      </c>
      <c r="Q25" s="2"/>
      <c r="R25" s="2"/>
      <c r="S25" s="2"/>
      <c r="T25" s="2"/>
      <c r="U25" s="2"/>
      <c r="V25" s="2"/>
    </row>
    <row r="26" spans="1:22" x14ac:dyDescent="0.2">
      <c r="A26" t="s">
        <v>1042</v>
      </c>
      <c r="B26" t="s">
        <v>12</v>
      </c>
      <c r="C26" t="s">
        <v>28</v>
      </c>
      <c r="D26" s="1">
        <v>337.91874999999999</v>
      </c>
      <c r="E26" s="1">
        <f t="shared" si="5"/>
        <v>0.1096609147913471</v>
      </c>
      <c r="F26" s="1">
        <v>45.375</v>
      </c>
      <c r="G26" s="1">
        <f t="shared" si="0"/>
        <v>0.56042860702716168</v>
      </c>
      <c r="H26" s="3">
        <v>12197</v>
      </c>
      <c r="I26" s="1">
        <f t="shared" si="1"/>
        <v>0.1539355120676297</v>
      </c>
      <c r="J26" s="1">
        <v>4.541666666666667</v>
      </c>
      <c r="K26" s="1">
        <f t="shared" si="2"/>
        <v>0.11458333333333326</v>
      </c>
      <c r="L26" s="1">
        <v>4.375</v>
      </c>
      <c r="M26" s="1">
        <f t="shared" si="3"/>
        <v>0.84375</v>
      </c>
      <c r="N26" s="1">
        <v>4.666666666666667</v>
      </c>
      <c r="O26" s="1">
        <f t="shared" si="4"/>
        <v>8.3333333333333259E-2</v>
      </c>
      <c r="P26" s="3">
        <v>0</v>
      </c>
      <c r="Q26" s="2"/>
      <c r="R26" s="2"/>
      <c r="S26" s="2"/>
      <c r="T26" s="2"/>
      <c r="U26" s="2"/>
      <c r="V26" s="2"/>
    </row>
    <row r="27" spans="1:22" x14ac:dyDescent="0.2">
      <c r="A27" t="s">
        <v>1047</v>
      </c>
      <c r="B27" t="s">
        <v>12</v>
      </c>
      <c r="C27" t="s">
        <v>18</v>
      </c>
      <c r="D27" s="1">
        <v>348.08235294117645</v>
      </c>
      <c r="E27" s="1">
        <f t="shared" si="5"/>
        <v>8.0343617353594299E-2</v>
      </c>
      <c r="F27" s="1">
        <v>39.058823529411768</v>
      </c>
      <c r="G27" s="1">
        <f t="shared" si="0"/>
        <v>0.82484865364037452</v>
      </c>
      <c r="H27" s="3">
        <v>9261</v>
      </c>
      <c r="I27" s="1">
        <f t="shared" si="1"/>
        <v>0.10055248571069214</v>
      </c>
      <c r="J27" s="1">
        <v>4.117647058823529</v>
      </c>
      <c r="K27" s="1">
        <f t="shared" si="2"/>
        <v>0.22058823529411775</v>
      </c>
      <c r="L27" s="1">
        <v>4.2941176470588234</v>
      </c>
      <c r="M27" s="1">
        <f t="shared" si="3"/>
        <v>0.82352941176470584</v>
      </c>
      <c r="N27" s="1">
        <v>4.4117647058823533</v>
      </c>
      <c r="O27" s="1">
        <f t="shared" si="4"/>
        <v>0.14705882352941169</v>
      </c>
      <c r="P27" s="3">
        <v>0</v>
      </c>
      <c r="Q27" s="2"/>
      <c r="R27" s="2"/>
      <c r="S27" s="2"/>
      <c r="T27" s="2"/>
      <c r="U27" s="2"/>
      <c r="V27" s="2"/>
    </row>
    <row r="28" spans="1:22" x14ac:dyDescent="0.2">
      <c r="A28" t="s">
        <v>1036</v>
      </c>
      <c r="B28" t="s">
        <v>12</v>
      </c>
      <c r="C28" t="s">
        <v>13</v>
      </c>
      <c r="D28" s="1">
        <v>364.78499999999997</v>
      </c>
      <c r="E28" s="1">
        <f t="shared" si="5"/>
        <v>3.2164199616063649E-2</v>
      </c>
      <c r="F28" s="1">
        <v>45.653846153846153</v>
      </c>
      <c r="G28" s="1">
        <f t="shared" si="0"/>
        <v>0.54875500776323105</v>
      </c>
      <c r="H28" s="3">
        <v>15381</v>
      </c>
      <c r="I28" s="1">
        <f t="shared" si="1"/>
        <v>0.1988985006761699</v>
      </c>
      <c r="J28" s="1">
        <v>4.384615384615385</v>
      </c>
      <c r="K28" s="1">
        <f t="shared" si="2"/>
        <v>0.15384615384615374</v>
      </c>
      <c r="L28" s="1">
        <v>4.3461538461538458</v>
      </c>
      <c r="M28" s="1">
        <f t="shared" si="3"/>
        <v>0.83653846153846145</v>
      </c>
      <c r="N28" s="1">
        <v>4.4230769230769234</v>
      </c>
      <c r="O28" s="1">
        <f t="shared" si="4"/>
        <v>0.14423076923076916</v>
      </c>
      <c r="P28" s="3">
        <v>0</v>
      </c>
      <c r="Q28" s="2"/>
      <c r="R28" s="2"/>
      <c r="S28" s="2"/>
      <c r="T28" s="2"/>
      <c r="U28" s="2"/>
      <c r="V28" s="2"/>
    </row>
    <row r="29" spans="1:22" x14ac:dyDescent="0.2">
      <c r="A29" t="s">
        <v>1053</v>
      </c>
      <c r="B29" t="s">
        <v>281</v>
      </c>
      <c r="C29" t="s">
        <v>18</v>
      </c>
      <c r="D29" s="1">
        <v>203.48178571428573</v>
      </c>
      <c r="E29" s="1">
        <f t="shared" si="5"/>
        <v>0.49744942752683341</v>
      </c>
      <c r="F29" s="1">
        <v>42.821428571428569</v>
      </c>
      <c r="G29" s="1">
        <f t="shared" si="0"/>
        <v>0.66733117368552208</v>
      </c>
      <c r="H29" s="3">
        <v>7273</v>
      </c>
      <c r="I29" s="1">
        <f t="shared" si="1"/>
        <v>5.3709075760733659E-2</v>
      </c>
      <c r="J29" s="1">
        <v>4.1785714285714288</v>
      </c>
      <c r="K29" s="1">
        <f t="shared" si="2"/>
        <v>0.20535714285714279</v>
      </c>
      <c r="L29" s="1">
        <v>1.9285714285714286</v>
      </c>
      <c r="M29" s="1">
        <f t="shared" si="3"/>
        <v>0.23214285714285715</v>
      </c>
      <c r="N29" s="1">
        <v>3.5</v>
      </c>
      <c r="O29" s="1">
        <f t="shared" si="4"/>
        <v>0.375</v>
      </c>
      <c r="P29" s="3">
        <v>0</v>
      </c>
      <c r="Q29" s="2"/>
      <c r="R29" s="2"/>
      <c r="S29" s="2"/>
      <c r="T29" s="2"/>
      <c r="U29" s="2"/>
      <c r="V29" s="2"/>
    </row>
    <row r="30" spans="1:22" x14ac:dyDescent="0.2">
      <c r="A30" t="s">
        <v>1051</v>
      </c>
      <c r="B30" t="s">
        <v>281</v>
      </c>
      <c r="C30" t="s">
        <v>274</v>
      </c>
      <c r="D30" s="1">
        <v>187.44863636363635</v>
      </c>
      <c r="E30" s="1">
        <f t="shared" si="5"/>
        <v>0.54369765378059265</v>
      </c>
      <c r="F30" s="1">
        <v>48.272727272727273</v>
      </c>
      <c r="G30" s="1">
        <f t="shared" si="0"/>
        <v>0.43911832000543682</v>
      </c>
      <c r="H30" s="3">
        <v>12594</v>
      </c>
      <c r="I30" s="1">
        <f t="shared" si="1"/>
        <v>0.16014473935456938</v>
      </c>
      <c r="J30" s="1">
        <v>4.5227272727272725</v>
      </c>
      <c r="K30" s="1">
        <f t="shared" si="2"/>
        <v>0.11931818181818188</v>
      </c>
      <c r="L30" s="1">
        <v>1.4318181818181819</v>
      </c>
      <c r="M30" s="1">
        <f t="shared" si="3"/>
        <v>0.10795454545454547</v>
      </c>
      <c r="N30" s="1">
        <v>3.6590909090909092</v>
      </c>
      <c r="O30" s="1">
        <f t="shared" si="4"/>
        <v>0.33522727272727271</v>
      </c>
      <c r="P30" s="3">
        <v>0</v>
      </c>
      <c r="Q30" s="2"/>
      <c r="R30" s="2"/>
      <c r="S30" s="2"/>
      <c r="T30" s="2"/>
      <c r="U30" s="2"/>
      <c r="V30" s="2"/>
    </row>
    <row r="31" spans="1:22" x14ac:dyDescent="0.2">
      <c r="A31" t="s">
        <v>1067</v>
      </c>
      <c r="B31" t="s">
        <v>526</v>
      </c>
      <c r="C31" t="s">
        <v>18</v>
      </c>
      <c r="D31" s="1">
        <v>101.99095238095238</v>
      </c>
      <c r="E31" s="1">
        <f t="shared" si="5"/>
        <v>0.79020357831957544</v>
      </c>
      <c r="F31" s="1">
        <v>58.761904761904759</v>
      </c>
      <c r="G31" s="1">
        <f t="shared" si="0"/>
        <v>0</v>
      </c>
      <c r="H31" s="3">
        <v>120892</v>
      </c>
      <c r="I31" s="1">
        <f t="shared" si="1"/>
        <v>0.5985790848207726</v>
      </c>
      <c r="J31" s="1">
        <v>1.9523809523809523</v>
      </c>
      <c r="K31" s="1">
        <f t="shared" si="2"/>
        <v>0.76190476190476186</v>
      </c>
      <c r="L31" s="1">
        <v>4.5238095238095237</v>
      </c>
      <c r="M31" s="1">
        <f t="shared" si="3"/>
        <v>0.88095238095238093</v>
      </c>
      <c r="N31" s="1">
        <v>1.6190476190476191</v>
      </c>
      <c r="O31" s="1">
        <f t="shared" si="4"/>
        <v>0.84523809523809523</v>
      </c>
      <c r="P31" s="3">
        <v>0</v>
      </c>
      <c r="Q31" s="2"/>
      <c r="R31" s="2"/>
      <c r="S31" s="2"/>
      <c r="T31" s="2"/>
      <c r="U31" s="2"/>
      <c r="V31" s="2"/>
    </row>
    <row r="32" spans="1:22" x14ac:dyDescent="0.2">
      <c r="A32" t="s">
        <v>1063</v>
      </c>
      <c r="B32" t="s">
        <v>526</v>
      </c>
      <c r="C32" t="s">
        <v>274</v>
      </c>
      <c r="D32" s="1">
        <v>94.477857142857147</v>
      </c>
      <c r="E32" s="1">
        <f t="shared" si="5"/>
        <v>0.81187538595002051</v>
      </c>
      <c r="F32" s="1">
        <v>46.5</v>
      </c>
      <c r="G32" s="1">
        <f t="shared" si="0"/>
        <v>0.51333167206578612</v>
      </c>
      <c r="H32" s="3">
        <v>75422</v>
      </c>
      <c r="I32" s="1">
        <f t="shared" si="1"/>
        <v>0.50711921113426417</v>
      </c>
      <c r="J32" s="1">
        <v>1.7857142857142858</v>
      </c>
      <c r="K32" s="1">
        <f t="shared" si="2"/>
        <v>0.8035714285714286</v>
      </c>
      <c r="L32" s="1">
        <v>4.5</v>
      </c>
      <c r="M32" s="1">
        <f t="shared" si="3"/>
        <v>0.875</v>
      </c>
      <c r="N32" s="1">
        <v>1.3571428571428572</v>
      </c>
      <c r="O32" s="1">
        <f t="shared" si="4"/>
        <v>0.9107142857142857</v>
      </c>
      <c r="P32" s="3">
        <v>0</v>
      </c>
      <c r="Q32" s="2"/>
      <c r="R32" s="2"/>
      <c r="S32" s="2"/>
      <c r="T32" s="2"/>
      <c r="U32" s="2"/>
      <c r="V32" s="2"/>
    </row>
    <row r="33" spans="1:22" x14ac:dyDescent="0.2">
      <c r="A33" t="s">
        <v>1056</v>
      </c>
      <c r="B33" t="s">
        <v>526</v>
      </c>
      <c r="C33" t="s">
        <v>527</v>
      </c>
      <c r="D33" s="1">
        <v>107.10964285714284</v>
      </c>
      <c r="E33" s="1">
        <f t="shared" si="5"/>
        <v>0.77543852186756712</v>
      </c>
      <c r="F33" s="1">
        <v>45.428571428571431</v>
      </c>
      <c r="G33" s="1">
        <f t="shared" si="0"/>
        <v>0.55818589583852463</v>
      </c>
      <c r="H33" s="3">
        <v>164636</v>
      </c>
      <c r="I33" s="1">
        <f t="shared" si="1"/>
        <v>0.65844872663823895</v>
      </c>
      <c r="J33" s="1">
        <v>1.8214285714285714</v>
      </c>
      <c r="K33" s="1">
        <f t="shared" si="2"/>
        <v>0.79464285714285721</v>
      </c>
      <c r="L33" s="1">
        <v>4.3928571428571432</v>
      </c>
      <c r="M33" s="1">
        <f t="shared" si="3"/>
        <v>0.84821428571428581</v>
      </c>
      <c r="N33" s="1">
        <v>1.4642857142857142</v>
      </c>
      <c r="O33" s="1">
        <f t="shared" si="4"/>
        <v>0.8839285714285714</v>
      </c>
      <c r="P33" s="3">
        <v>0</v>
      </c>
      <c r="Q33" s="2"/>
      <c r="R33" s="2"/>
      <c r="S33" s="2"/>
      <c r="T33" s="2"/>
      <c r="U33" s="2"/>
      <c r="V33" s="2"/>
    </row>
    <row r="34" spans="1:22" x14ac:dyDescent="0.2">
      <c r="A34" t="s">
        <v>1062</v>
      </c>
      <c r="B34" t="s">
        <v>534</v>
      </c>
      <c r="C34" t="s">
        <v>18</v>
      </c>
      <c r="D34" s="1">
        <v>96.180476190476213</v>
      </c>
      <c r="E34" s="1">
        <f t="shared" si="5"/>
        <v>0.80696411685272007</v>
      </c>
      <c r="F34" s="1">
        <v>46.80952380952381</v>
      </c>
      <c r="G34" s="1">
        <f t="shared" si="0"/>
        <v>0.50037378519810605</v>
      </c>
      <c r="H34" s="3">
        <v>112467</v>
      </c>
      <c r="I34" s="1">
        <f t="shared" si="1"/>
        <v>0.58457553563994857</v>
      </c>
      <c r="J34" s="1">
        <v>1.7619047619047619</v>
      </c>
      <c r="K34" s="1">
        <f t="shared" si="2"/>
        <v>0.80952380952380953</v>
      </c>
      <c r="L34" s="1">
        <v>4.2380952380952381</v>
      </c>
      <c r="M34" s="1">
        <f t="shared" si="3"/>
        <v>0.80952380952380953</v>
      </c>
      <c r="N34" s="1">
        <v>1.4285714285714286</v>
      </c>
      <c r="O34" s="1">
        <f t="shared" si="4"/>
        <v>0.89285714285714279</v>
      </c>
      <c r="P34" s="3">
        <v>0</v>
      </c>
      <c r="Q34" s="2"/>
      <c r="R34" s="2"/>
      <c r="S34" s="2"/>
      <c r="T34" s="2"/>
      <c r="U34" s="2"/>
      <c r="V34" s="2"/>
    </row>
    <row r="35" spans="1:22" x14ac:dyDescent="0.2">
      <c r="A35" t="s">
        <v>1059</v>
      </c>
      <c r="B35" t="s">
        <v>534</v>
      </c>
      <c r="C35" t="s">
        <v>274</v>
      </c>
      <c r="D35" s="1">
        <v>103.93100000000001</v>
      </c>
      <c r="E35" s="1">
        <f t="shared" si="5"/>
        <v>0.78460743751987982</v>
      </c>
      <c r="F35" s="1">
        <v>47.6</v>
      </c>
      <c r="G35" s="1">
        <f t="shared" si="0"/>
        <v>0.46728133565910779</v>
      </c>
      <c r="H35" s="3">
        <v>100789</v>
      </c>
      <c r="I35" s="1">
        <f t="shared" si="1"/>
        <v>0.56332323981634469</v>
      </c>
      <c r="J35" s="1">
        <v>1.45</v>
      </c>
      <c r="K35" s="1">
        <f t="shared" si="2"/>
        <v>0.88749999999999996</v>
      </c>
      <c r="L35" s="1">
        <v>4.25</v>
      </c>
      <c r="M35" s="1">
        <f t="shared" si="3"/>
        <v>0.8125</v>
      </c>
      <c r="N35" s="1">
        <v>1.4</v>
      </c>
      <c r="O35" s="1">
        <f t="shared" si="4"/>
        <v>0.9</v>
      </c>
      <c r="P35" s="3">
        <v>0</v>
      </c>
      <c r="Q35" s="2"/>
      <c r="R35" s="2"/>
      <c r="S35" s="2"/>
      <c r="T35" s="2"/>
      <c r="U35" s="2"/>
      <c r="V35" s="2"/>
    </row>
    <row r="36" spans="1:22" x14ac:dyDescent="0.2">
      <c r="A36" t="s">
        <v>1066</v>
      </c>
      <c r="B36" t="s">
        <v>534</v>
      </c>
      <c r="C36" t="s">
        <v>527</v>
      </c>
      <c r="D36" s="1">
        <v>97.513684210526321</v>
      </c>
      <c r="E36" s="1">
        <f t="shared" si="5"/>
        <v>0.80311842784888721</v>
      </c>
      <c r="F36" s="1">
        <v>51.89473684210526</v>
      </c>
      <c r="G36" s="1">
        <f t="shared" si="0"/>
        <v>0.28748672078901472</v>
      </c>
      <c r="H36" s="3">
        <v>90842</v>
      </c>
      <c r="I36" s="1">
        <f t="shared" si="1"/>
        <v>0.54318039430584464</v>
      </c>
      <c r="J36" s="1">
        <v>1.4736842105263157</v>
      </c>
      <c r="K36" s="1">
        <f t="shared" si="2"/>
        <v>0.88157894736842102</v>
      </c>
      <c r="L36" s="1">
        <v>4.4736842105263159</v>
      </c>
      <c r="M36" s="1">
        <f t="shared" si="3"/>
        <v>0.86842105263157898</v>
      </c>
      <c r="N36" s="1">
        <v>1.3157894736842106</v>
      </c>
      <c r="O36" s="1">
        <f t="shared" si="4"/>
        <v>0.92105263157894735</v>
      </c>
      <c r="P36" s="3">
        <v>0</v>
      </c>
      <c r="Q36" s="2"/>
      <c r="R36" s="2"/>
      <c r="S36" s="2"/>
      <c r="T36" s="2"/>
      <c r="U36" s="2"/>
      <c r="V36" s="2"/>
    </row>
    <row r="37" spans="1:22" x14ac:dyDescent="0.2">
      <c r="A37" t="s">
        <v>1086</v>
      </c>
      <c r="B37" t="s">
        <v>784</v>
      </c>
      <c r="C37" t="s">
        <v>527</v>
      </c>
      <c r="D37" s="1">
        <v>30.995172413793107</v>
      </c>
      <c r="E37" s="1">
        <f t="shared" si="5"/>
        <v>0.99499359325511871</v>
      </c>
      <c r="F37" s="1">
        <v>54.241379310344826</v>
      </c>
      <c r="G37" s="1">
        <f t="shared" si="0"/>
        <v>0.18924701616298756</v>
      </c>
      <c r="H37" s="3">
        <v>737022</v>
      </c>
      <c r="I37" s="1">
        <f>(LN(H37)-LN(MIN($H$2:$H$37)))/(LN(MAX($H$2:$H$37))-LN(MIN($H$2:$H$37)))</f>
        <v>0.94901222701677346</v>
      </c>
      <c r="J37" s="1">
        <v>1.603448275862069</v>
      </c>
      <c r="K37" s="1">
        <f t="shared" si="2"/>
        <v>0.84913793103448276</v>
      </c>
      <c r="L37" s="1">
        <v>1.6896551724137931</v>
      </c>
      <c r="M37" s="1">
        <f t="shared" si="3"/>
        <v>0.17241379310344829</v>
      </c>
      <c r="N37" s="1">
        <v>1.5</v>
      </c>
      <c r="O37" s="1">
        <f t="shared" si="4"/>
        <v>0.875</v>
      </c>
      <c r="P37" s="3">
        <v>1</v>
      </c>
      <c r="Q37" s="2"/>
      <c r="R37" s="2"/>
      <c r="S37" s="2"/>
      <c r="T37" s="2"/>
      <c r="U37" s="2"/>
      <c r="V37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2" tint="-0.249977111117893"/>
  </sheetPr>
  <dimension ref="A1:K1001"/>
  <sheetViews>
    <sheetView zoomScale="117" workbookViewId="0">
      <pane xSplit="7" ySplit="18" topLeftCell="H19" activePane="bottomRight" state="frozen"/>
      <selection pane="topRight" activeCell="H1" sqref="H1"/>
      <selection pane="bottomLeft" activeCell="A19" sqref="A19"/>
      <selection pane="bottomRight" activeCell="D2" sqref="D2"/>
    </sheetView>
  </sheetViews>
  <sheetFormatPr baseColWidth="10" defaultRowHeight="16" x14ac:dyDescent="0.2"/>
  <cols>
    <col min="2" max="2" width="16.5" bestFit="1" customWidth="1"/>
    <col min="3" max="3" width="14.1640625" bestFit="1" customWidth="1"/>
    <col min="4" max="4" width="29.33203125" bestFit="1" customWidth="1"/>
    <col min="5" max="6" width="14.5" bestFit="1" customWidth="1"/>
    <col min="7" max="8" width="12.6640625" bestFit="1" customWidth="1"/>
    <col min="9" max="9" width="16.33203125" bestFit="1" customWidth="1"/>
    <col min="10" max="10" width="17.6640625" bestFit="1" customWidth="1"/>
    <col min="11" max="11" width="16.8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1035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 t="s">
        <v>11</v>
      </c>
      <c r="B2" t="s">
        <v>12</v>
      </c>
      <c r="C2" t="s">
        <v>13</v>
      </c>
      <c r="D2" t="s">
        <v>1036</v>
      </c>
      <c r="E2">
        <v>81</v>
      </c>
      <c r="F2">
        <v>171</v>
      </c>
      <c r="G2">
        <v>255.03</v>
      </c>
      <c r="H2">
        <v>5</v>
      </c>
      <c r="I2">
        <v>5</v>
      </c>
      <c r="J2">
        <v>4</v>
      </c>
      <c r="K2" cm="1">
        <f t="array" ref="K2">IF(COUNTA(_xlfn.UNIQUE(_xlfn._xlws.FILTER($C$2:$C$1001,$B$2:$B$1001=B2)))=1,1,0)</f>
        <v>0</v>
      </c>
    </row>
    <row r="3" spans="1:11" x14ac:dyDescent="0.2">
      <c r="A3" t="s">
        <v>15</v>
      </c>
      <c r="B3" t="s">
        <v>12</v>
      </c>
      <c r="C3" t="s">
        <v>13</v>
      </c>
      <c r="D3" t="s">
        <v>1036</v>
      </c>
      <c r="E3">
        <v>8</v>
      </c>
      <c r="F3">
        <v>763</v>
      </c>
      <c r="G3">
        <v>380.33</v>
      </c>
      <c r="H3">
        <v>5</v>
      </c>
      <c r="I3">
        <v>4</v>
      </c>
      <c r="J3">
        <v>4</v>
      </c>
      <c r="K3" cm="1">
        <f t="array" ref="K3">IF(COUNTA(_xlfn.UNIQUE(_xlfn._xlws.FILTER($C$2:$C$1001,$B$2:$B$1001=B3)))=1,1,0)</f>
        <v>0</v>
      </c>
    </row>
    <row r="4" spans="1:11" x14ac:dyDescent="0.2">
      <c r="A4" t="s">
        <v>16</v>
      </c>
      <c r="B4" t="s">
        <v>17</v>
      </c>
      <c r="C4" t="s">
        <v>18</v>
      </c>
      <c r="D4" t="s">
        <v>1037</v>
      </c>
      <c r="E4">
        <v>65</v>
      </c>
      <c r="F4">
        <v>413</v>
      </c>
      <c r="G4">
        <v>385.24</v>
      </c>
      <c r="H4">
        <v>4</v>
      </c>
      <c r="I4">
        <v>5</v>
      </c>
      <c r="J4">
        <v>5</v>
      </c>
      <c r="K4" cm="1">
        <f t="array" ref="K4">IF(COUNTA(_xlfn.UNIQUE(_xlfn._xlws.FILTER($C$2:$C$1001,$B$2:$B$1001=B4)))=1,1,0)</f>
        <v>0</v>
      </c>
    </row>
    <row r="5" spans="1:11" x14ac:dyDescent="0.2">
      <c r="A5" t="s">
        <v>19</v>
      </c>
      <c r="B5" t="s">
        <v>12</v>
      </c>
      <c r="C5" t="s">
        <v>13</v>
      </c>
      <c r="D5" t="s">
        <v>1036</v>
      </c>
      <c r="E5">
        <v>70</v>
      </c>
      <c r="F5">
        <v>882</v>
      </c>
      <c r="G5">
        <v>287.64</v>
      </c>
      <c r="H5">
        <v>5</v>
      </c>
      <c r="I5">
        <v>5</v>
      </c>
      <c r="J5">
        <v>5</v>
      </c>
      <c r="K5" cm="1">
        <f t="array" ref="K5">IF(COUNTA(_xlfn.UNIQUE(_xlfn._xlws.FILTER($C$2:$C$1001,$B$2:$B$1001=B5)))=1,1,0)</f>
        <v>0</v>
      </c>
    </row>
    <row r="6" spans="1:11" x14ac:dyDescent="0.2">
      <c r="A6" t="s">
        <v>20</v>
      </c>
      <c r="B6" t="s">
        <v>21</v>
      </c>
      <c r="C6" t="s">
        <v>18</v>
      </c>
      <c r="D6" t="s">
        <v>1038</v>
      </c>
      <c r="E6">
        <v>15</v>
      </c>
      <c r="F6">
        <v>120</v>
      </c>
      <c r="G6">
        <v>382.26</v>
      </c>
      <c r="H6">
        <v>4</v>
      </c>
      <c r="I6">
        <v>4</v>
      </c>
      <c r="J6">
        <v>4</v>
      </c>
      <c r="K6" cm="1">
        <f t="array" ref="K6">IF(COUNTA(_xlfn.UNIQUE(_xlfn._xlws.FILTER($C$2:$C$1001,$B$2:$B$1001=B6)))=1,1,0)</f>
        <v>0</v>
      </c>
    </row>
    <row r="7" spans="1:11" x14ac:dyDescent="0.2">
      <c r="A7" t="s">
        <v>22</v>
      </c>
      <c r="B7" t="s">
        <v>23</v>
      </c>
      <c r="C7" t="s">
        <v>18</v>
      </c>
      <c r="D7" t="s">
        <v>1039</v>
      </c>
      <c r="E7">
        <v>84</v>
      </c>
      <c r="F7">
        <v>466</v>
      </c>
      <c r="G7">
        <v>405.27</v>
      </c>
      <c r="H7">
        <v>5</v>
      </c>
      <c r="I7">
        <v>5</v>
      </c>
      <c r="J7">
        <v>5</v>
      </c>
      <c r="K7" cm="1">
        <f t="array" ref="K7">IF(COUNTA(_xlfn.UNIQUE(_xlfn._xlws.FILTER($C$2:$C$1001,$B$2:$B$1001=B7)))=1,1,0)</f>
        <v>0</v>
      </c>
    </row>
    <row r="8" spans="1:11" x14ac:dyDescent="0.2">
      <c r="A8" t="s">
        <v>24</v>
      </c>
      <c r="B8" t="s">
        <v>21</v>
      </c>
      <c r="C8" t="s">
        <v>13</v>
      </c>
      <c r="D8" t="s">
        <v>1040</v>
      </c>
      <c r="E8">
        <v>69</v>
      </c>
      <c r="F8">
        <v>101</v>
      </c>
      <c r="G8">
        <v>398.76</v>
      </c>
      <c r="H8">
        <v>5</v>
      </c>
      <c r="I8">
        <v>4</v>
      </c>
      <c r="J8">
        <v>5</v>
      </c>
      <c r="K8" cm="1">
        <f t="array" ref="K8">IF(COUNTA(_xlfn.UNIQUE(_xlfn._xlws.FILTER($C$2:$C$1001,$B$2:$B$1001=B8)))=1,1,0)</f>
        <v>0</v>
      </c>
    </row>
    <row r="9" spans="1:11" x14ac:dyDescent="0.2">
      <c r="A9" t="s">
        <v>25</v>
      </c>
      <c r="B9" t="s">
        <v>23</v>
      </c>
      <c r="C9" t="s">
        <v>13</v>
      </c>
      <c r="D9" t="s">
        <v>1041</v>
      </c>
      <c r="E9">
        <v>68</v>
      </c>
      <c r="F9">
        <v>369</v>
      </c>
      <c r="G9">
        <v>481.85</v>
      </c>
      <c r="H9">
        <v>5</v>
      </c>
      <c r="I9">
        <v>4</v>
      </c>
      <c r="J9">
        <v>4</v>
      </c>
      <c r="K9" cm="1">
        <f t="array" ref="K9">IF(COUNTA(_xlfn.UNIQUE(_xlfn._xlws.FILTER($C$2:$C$1001,$B$2:$B$1001=B9)))=1,1,0)</f>
        <v>0</v>
      </c>
    </row>
    <row r="10" spans="1:11" x14ac:dyDescent="0.2">
      <c r="A10" t="s">
        <v>26</v>
      </c>
      <c r="B10" t="s">
        <v>17</v>
      </c>
      <c r="C10" t="s">
        <v>18</v>
      </c>
      <c r="D10" t="s">
        <v>1037</v>
      </c>
      <c r="E10">
        <v>35</v>
      </c>
      <c r="F10">
        <v>978</v>
      </c>
      <c r="G10">
        <v>424.2</v>
      </c>
      <c r="H10">
        <v>3</v>
      </c>
      <c r="I10">
        <v>4</v>
      </c>
      <c r="J10">
        <v>4</v>
      </c>
      <c r="K10" cm="1">
        <f t="array" ref="K10">IF(COUNTA(_xlfn.UNIQUE(_xlfn._xlws.FILTER($C$2:$C$1001,$B$2:$B$1001=B10)))=1,1,0)</f>
        <v>0</v>
      </c>
    </row>
    <row r="11" spans="1:11" x14ac:dyDescent="0.2">
      <c r="A11" t="s">
        <v>27</v>
      </c>
      <c r="B11" t="s">
        <v>12</v>
      </c>
      <c r="C11" t="s">
        <v>28</v>
      </c>
      <c r="D11" t="s">
        <v>1042</v>
      </c>
      <c r="E11">
        <v>87</v>
      </c>
      <c r="F11">
        <v>620</v>
      </c>
      <c r="G11">
        <v>204.69</v>
      </c>
      <c r="H11">
        <v>5</v>
      </c>
      <c r="I11">
        <v>5</v>
      </c>
      <c r="J11">
        <v>5</v>
      </c>
      <c r="K11" cm="1">
        <f t="array" ref="K11">IF(COUNTA(_xlfn.UNIQUE(_xlfn._xlws.FILTER($C$2:$C$1001,$B$2:$B$1001=B11)))=1,1,0)</f>
        <v>0</v>
      </c>
    </row>
    <row r="12" spans="1:11" x14ac:dyDescent="0.2">
      <c r="A12" t="s">
        <v>29</v>
      </c>
      <c r="B12" t="s">
        <v>17</v>
      </c>
      <c r="C12" t="s">
        <v>18</v>
      </c>
      <c r="D12" t="s">
        <v>1037</v>
      </c>
      <c r="E12">
        <v>78</v>
      </c>
      <c r="F12">
        <v>872</v>
      </c>
      <c r="G12">
        <v>431.38</v>
      </c>
      <c r="H12">
        <v>5</v>
      </c>
      <c r="I12">
        <v>3</v>
      </c>
      <c r="J12">
        <v>5</v>
      </c>
      <c r="K12" cm="1">
        <f t="array" ref="K12">IF(COUNTA(_xlfn.UNIQUE(_xlfn._xlws.FILTER($C$2:$C$1001,$B$2:$B$1001=B12)))=1,1,0)</f>
        <v>0</v>
      </c>
    </row>
    <row r="13" spans="1:11" x14ac:dyDescent="0.2">
      <c r="A13" t="s">
        <v>30</v>
      </c>
      <c r="B13" t="s">
        <v>17</v>
      </c>
      <c r="C13" t="s">
        <v>28</v>
      </c>
      <c r="D13" t="s">
        <v>1043</v>
      </c>
      <c r="E13">
        <v>41</v>
      </c>
      <c r="F13">
        <v>506</v>
      </c>
      <c r="G13">
        <v>219.07</v>
      </c>
      <c r="H13">
        <v>5</v>
      </c>
      <c r="I13">
        <v>5</v>
      </c>
      <c r="J13">
        <v>5</v>
      </c>
      <c r="K13" cm="1">
        <f t="array" ref="K13">IF(COUNTA(_xlfn.UNIQUE(_xlfn._xlws.FILTER($C$2:$C$1001,$B$2:$B$1001=B13)))=1,1,0)</f>
        <v>0</v>
      </c>
    </row>
    <row r="14" spans="1:11" x14ac:dyDescent="0.2">
      <c r="A14" t="s">
        <v>31</v>
      </c>
      <c r="B14" t="s">
        <v>21</v>
      </c>
      <c r="C14" t="s">
        <v>28</v>
      </c>
      <c r="D14" t="s">
        <v>1044</v>
      </c>
      <c r="E14">
        <v>33</v>
      </c>
      <c r="F14">
        <v>742</v>
      </c>
      <c r="G14">
        <v>491.51</v>
      </c>
      <c r="H14">
        <v>5</v>
      </c>
      <c r="I14">
        <v>4</v>
      </c>
      <c r="J14">
        <v>4</v>
      </c>
      <c r="K14" cm="1">
        <f t="array" ref="K14">IF(COUNTA(_xlfn.UNIQUE(_xlfn._xlws.FILTER($C$2:$C$1001,$B$2:$B$1001=B14)))=1,1,0)</f>
        <v>0</v>
      </c>
    </row>
    <row r="15" spans="1:11" x14ac:dyDescent="0.2">
      <c r="A15" t="s">
        <v>32</v>
      </c>
      <c r="B15" t="s">
        <v>21</v>
      </c>
      <c r="C15" t="s">
        <v>28</v>
      </c>
      <c r="D15" t="s">
        <v>1044</v>
      </c>
      <c r="E15">
        <v>10</v>
      </c>
      <c r="F15">
        <v>991</v>
      </c>
      <c r="G15">
        <v>233.27</v>
      </c>
      <c r="H15">
        <v>3</v>
      </c>
      <c r="I15">
        <v>3</v>
      </c>
      <c r="J15">
        <v>4</v>
      </c>
      <c r="K15" cm="1">
        <f t="array" ref="K15">IF(COUNTA(_xlfn.UNIQUE(_xlfn._xlws.FILTER($C$2:$C$1001,$B$2:$B$1001=B15)))=1,1,0)</f>
        <v>0</v>
      </c>
    </row>
    <row r="16" spans="1:11" x14ac:dyDescent="0.2">
      <c r="A16" t="s">
        <v>33</v>
      </c>
      <c r="B16" t="s">
        <v>23</v>
      </c>
      <c r="C16" t="s">
        <v>18</v>
      </c>
      <c r="D16" t="s">
        <v>1039</v>
      </c>
      <c r="E16">
        <v>34</v>
      </c>
      <c r="F16">
        <v>754</v>
      </c>
      <c r="G16">
        <v>381.33</v>
      </c>
      <c r="H16">
        <v>5</v>
      </c>
      <c r="I16">
        <v>5</v>
      </c>
      <c r="J16">
        <v>4</v>
      </c>
      <c r="K16" cm="1">
        <f t="array" ref="K16">IF(COUNTA(_xlfn.UNIQUE(_xlfn._xlws.FILTER($C$2:$C$1001,$B$2:$B$1001=B16)))=1,1,0)</f>
        <v>0</v>
      </c>
    </row>
    <row r="17" spans="1:11" x14ac:dyDescent="0.2">
      <c r="A17" t="s">
        <v>34</v>
      </c>
      <c r="B17" t="s">
        <v>23</v>
      </c>
      <c r="C17" t="s">
        <v>13</v>
      </c>
      <c r="D17" t="s">
        <v>1041</v>
      </c>
      <c r="E17">
        <v>68</v>
      </c>
      <c r="F17">
        <v>745</v>
      </c>
      <c r="G17">
        <v>288.69</v>
      </c>
      <c r="H17">
        <v>5</v>
      </c>
      <c r="I17">
        <v>5</v>
      </c>
      <c r="J17">
        <v>5</v>
      </c>
      <c r="K17" cm="1">
        <f t="array" ref="K17">IF(COUNTA(_xlfn.UNIQUE(_xlfn._xlws.FILTER($C$2:$C$1001,$B$2:$B$1001=B17)))=1,1,0)</f>
        <v>0</v>
      </c>
    </row>
    <row r="18" spans="1:11" x14ac:dyDescent="0.2">
      <c r="A18" t="s">
        <v>35</v>
      </c>
      <c r="B18" t="s">
        <v>21</v>
      </c>
      <c r="C18" t="s">
        <v>28</v>
      </c>
      <c r="D18" t="s">
        <v>1044</v>
      </c>
      <c r="E18">
        <v>78</v>
      </c>
      <c r="F18">
        <v>732</v>
      </c>
      <c r="G18">
        <v>394.31</v>
      </c>
      <c r="H18">
        <v>5</v>
      </c>
      <c r="I18">
        <v>4</v>
      </c>
      <c r="J18">
        <v>5</v>
      </c>
      <c r="K18" cm="1">
        <f t="array" ref="K18">IF(COUNTA(_xlfn.UNIQUE(_xlfn._xlws.FILTER($C$2:$C$1001,$B$2:$B$1001=B18)))=1,1,0)</f>
        <v>0</v>
      </c>
    </row>
    <row r="19" spans="1:11" x14ac:dyDescent="0.2">
      <c r="A19" t="s">
        <v>36</v>
      </c>
      <c r="B19" t="s">
        <v>12</v>
      </c>
      <c r="C19" t="s">
        <v>28</v>
      </c>
      <c r="D19" t="s">
        <v>1042</v>
      </c>
      <c r="E19">
        <v>38</v>
      </c>
      <c r="F19">
        <v>918</v>
      </c>
      <c r="G19">
        <v>266.63</v>
      </c>
      <c r="H19">
        <v>5</v>
      </c>
      <c r="I19">
        <v>5</v>
      </c>
      <c r="J19">
        <v>5</v>
      </c>
      <c r="K19" cm="1">
        <f t="array" ref="K19">IF(COUNTA(_xlfn.UNIQUE(_xlfn._xlws.FILTER($C$2:$C$1001,$B$2:$B$1001=B19)))=1,1,0)</f>
        <v>0</v>
      </c>
    </row>
    <row r="20" spans="1:11" x14ac:dyDescent="0.2">
      <c r="A20" t="s">
        <v>37</v>
      </c>
      <c r="B20" t="s">
        <v>17</v>
      </c>
      <c r="C20" t="s">
        <v>13</v>
      </c>
      <c r="D20" t="s">
        <v>1045</v>
      </c>
      <c r="E20">
        <v>9</v>
      </c>
      <c r="F20">
        <v>929</v>
      </c>
      <c r="G20">
        <v>321.14999999999998</v>
      </c>
      <c r="H20">
        <v>5</v>
      </c>
      <c r="I20">
        <v>4</v>
      </c>
      <c r="J20">
        <v>4</v>
      </c>
      <c r="K20" cm="1">
        <f t="array" ref="K20">IF(COUNTA(_xlfn.UNIQUE(_xlfn._xlws.FILTER($C$2:$C$1001,$B$2:$B$1001=B20)))=1,1,0)</f>
        <v>0</v>
      </c>
    </row>
    <row r="21" spans="1:11" x14ac:dyDescent="0.2">
      <c r="A21" t="s">
        <v>38</v>
      </c>
      <c r="B21" t="s">
        <v>21</v>
      </c>
      <c r="C21" t="s">
        <v>13</v>
      </c>
      <c r="D21" t="s">
        <v>1040</v>
      </c>
      <c r="E21">
        <v>7</v>
      </c>
      <c r="F21">
        <v>798</v>
      </c>
      <c r="G21">
        <v>499.32</v>
      </c>
      <c r="H21">
        <v>5</v>
      </c>
      <c r="I21">
        <v>3</v>
      </c>
      <c r="J21">
        <v>4</v>
      </c>
      <c r="K21" cm="1">
        <f t="array" ref="K21">IF(COUNTA(_xlfn.UNIQUE(_xlfn._xlws.FILTER($C$2:$C$1001,$B$2:$B$1001=B21)))=1,1,0)</f>
        <v>0</v>
      </c>
    </row>
    <row r="22" spans="1:11" x14ac:dyDescent="0.2">
      <c r="A22" t="s">
        <v>39</v>
      </c>
      <c r="B22" t="s">
        <v>12</v>
      </c>
      <c r="C22" t="s">
        <v>28</v>
      </c>
      <c r="D22" t="s">
        <v>1042</v>
      </c>
      <c r="E22">
        <v>62</v>
      </c>
      <c r="F22">
        <v>829</v>
      </c>
      <c r="G22">
        <v>359.28</v>
      </c>
      <c r="H22">
        <v>5</v>
      </c>
      <c r="I22">
        <v>5</v>
      </c>
      <c r="J22">
        <v>5</v>
      </c>
      <c r="K22" cm="1">
        <f t="array" ref="K22">IF(COUNTA(_xlfn.UNIQUE(_xlfn._xlws.FILTER($C$2:$C$1001,$B$2:$B$1001=B22)))=1,1,0)</f>
        <v>0</v>
      </c>
    </row>
    <row r="23" spans="1:11" x14ac:dyDescent="0.2">
      <c r="A23" t="s">
        <v>40</v>
      </c>
      <c r="B23" t="s">
        <v>12</v>
      </c>
      <c r="C23" t="s">
        <v>13</v>
      </c>
      <c r="D23" t="s">
        <v>1036</v>
      </c>
      <c r="E23">
        <v>22</v>
      </c>
      <c r="F23">
        <v>936</v>
      </c>
      <c r="G23">
        <v>440.94</v>
      </c>
      <c r="H23">
        <v>5</v>
      </c>
      <c r="I23">
        <v>5</v>
      </c>
      <c r="J23">
        <v>5</v>
      </c>
      <c r="K23" cm="1">
        <f t="array" ref="K23">IF(COUNTA(_xlfn.UNIQUE(_xlfn._xlws.FILTER($C$2:$C$1001,$B$2:$B$1001=B23)))=1,1,0)</f>
        <v>0</v>
      </c>
    </row>
    <row r="24" spans="1:11" x14ac:dyDescent="0.2">
      <c r="A24" t="s">
        <v>41</v>
      </c>
      <c r="B24" t="s">
        <v>21</v>
      </c>
      <c r="C24" t="s">
        <v>28</v>
      </c>
      <c r="D24" t="s">
        <v>1044</v>
      </c>
      <c r="E24">
        <v>73</v>
      </c>
      <c r="F24">
        <v>563</v>
      </c>
      <c r="G24">
        <v>352.46</v>
      </c>
      <c r="H24">
        <v>5</v>
      </c>
      <c r="I24">
        <v>5</v>
      </c>
      <c r="J24">
        <v>4</v>
      </c>
      <c r="K24" cm="1">
        <f t="array" ref="K24">IF(COUNTA(_xlfn.UNIQUE(_xlfn._xlws.FILTER($C$2:$C$1001,$B$2:$B$1001=B24)))=1,1,0)</f>
        <v>0</v>
      </c>
    </row>
    <row r="25" spans="1:11" x14ac:dyDescent="0.2">
      <c r="A25" t="s">
        <v>42</v>
      </c>
      <c r="B25" t="s">
        <v>12</v>
      </c>
      <c r="C25" t="s">
        <v>28</v>
      </c>
      <c r="D25" t="s">
        <v>1042</v>
      </c>
      <c r="E25">
        <v>17</v>
      </c>
      <c r="F25">
        <v>919</v>
      </c>
      <c r="G25">
        <v>393.55</v>
      </c>
      <c r="H25">
        <v>4</v>
      </c>
      <c r="I25">
        <v>4</v>
      </c>
      <c r="J25">
        <v>4</v>
      </c>
      <c r="K25" cm="1">
        <f t="array" ref="K25">IF(COUNTA(_xlfn.UNIQUE(_xlfn._xlws.FILTER($C$2:$C$1001,$B$2:$B$1001=B25)))=1,1,0)</f>
        <v>0</v>
      </c>
    </row>
    <row r="26" spans="1:11" x14ac:dyDescent="0.2">
      <c r="A26" t="s">
        <v>43</v>
      </c>
      <c r="B26" t="s">
        <v>17</v>
      </c>
      <c r="C26" t="s">
        <v>28</v>
      </c>
      <c r="D26" t="s">
        <v>1043</v>
      </c>
      <c r="E26">
        <v>66</v>
      </c>
      <c r="F26">
        <v>514</v>
      </c>
      <c r="G26">
        <v>262.72000000000003</v>
      </c>
      <c r="H26">
        <v>4</v>
      </c>
      <c r="I26">
        <v>3</v>
      </c>
      <c r="J26">
        <v>5</v>
      </c>
      <c r="K26" cm="1">
        <f t="array" ref="K26">IF(COUNTA(_xlfn.UNIQUE(_xlfn._xlws.FILTER($C$2:$C$1001,$B$2:$B$1001=B26)))=1,1,0)</f>
        <v>0</v>
      </c>
    </row>
    <row r="27" spans="1:11" x14ac:dyDescent="0.2">
      <c r="A27" t="s">
        <v>44</v>
      </c>
      <c r="B27" t="s">
        <v>21</v>
      </c>
      <c r="C27" t="s">
        <v>28</v>
      </c>
      <c r="D27" t="s">
        <v>1044</v>
      </c>
      <c r="E27">
        <v>25</v>
      </c>
      <c r="F27">
        <v>751</v>
      </c>
      <c r="G27">
        <v>227.93</v>
      </c>
      <c r="H27">
        <v>5</v>
      </c>
      <c r="I27">
        <v>3</v>
      </c>
      <c r="J27">
        <v>4</v>
      </c>
      <c r="K27" cm="1">
        <f t="array" ref="K27">IF(COUNTA(_xlfn.UNIQUE(_xlfn._xlws.FILTER($C$2:$C$1001,$B$2:$B$1001=B27)))=1,1,0)</f>
        <v>0</v>
      </c>
    </row>
    <row r="28" spans="1:11" x14ac:dyDescent="0.2">
      <c r="A28" t="s">
        <v>45</v>
      </c>
      <c r="B28" t="s">
        <v>17</v>
      </c>
      <c r="C28" t="s">
        <v>28</v>
      </c>
      <c r="D28" t="s">
        <v>1043</v>
      </c>
      <c r="E28">
        <v>31</v>
      </c>
      <c r="F28">
        <v>153</v>
      </c>
      <c r="G28">
        <v>456.9</v>
      </c>
      <c r="H28">
        <v>4</v>
      </c>
      <c r="I28">
        <v>4</v>
      </c>
      <c r="J28">
        <v>5</v>
      </c>
      <c r="K28" cm="1">
        <f t="array" ref="K28">IF(COUNTA(_xlfn.UNIQUE(_xlfn._xlws.FILTER($C$2:$C$1001,$B$2:$B$1001=B28)))=1,1,0)</f>
        <v>0</v>
      </c>
    </row>
    <row r="29" spans="1:11" x14ac:dyDescent="0.2">
      <c r="A29" t="s">
        <v>46</v>
      </c>
      <c r="B29" t="s">
        <v>21</v>
      </c>
      <c r="C29" t="s">
        <v>18</v>
      </c>
      <c r="D29" t="s">
        <v>1038</v>
      </c>
      <c r="E29">
        <v>74</v>
      </c>
      <c r="F29">
        <v>805</v>
      </c>
      <c r="G29">
        <v>291.61</v>
      </c>
      <c r="H29">
        <v>4</v>
      </c>
      <c r="I29">
        <v>4</v>
      </c>
      <c r="J29">
        <v>5</v>
      </c>
      <c r="K29" cm="1">
        <f t="array" ref="K29">IF(COUNTA(_xlfn.UNIQUE(_xlfn._xlws.FILTER($C$2:$C$1001,$B$2:$B$1001=B29)))=1,1,0)</f>
        <v>0</v>
      </c>
    </row>
    <row r="30" spans="1:11" x14ac:dyDescent="0.2">
      <c r="A30" t="s">
        <v>47</v>
      </c>
      <c r="B30" t="s">
        <v>21</v>
      </c>
      <c r="C30" t="s">
        <v>28</v>
      </c>
      <c r="D30" t="s">
        <v>1044</v>
      </c>
      <c r="E30">
        <v>54</v>
      </c>
      <c r="F30">
        <v>603</v>
      </c>
      <c r="G30">
        <v>253.65</v>
      </c>
      <c r="H30">
        <v>4</v>
      </c>
      <c r="I30">
        <v>3</v>
      </c>
      <c r="J30">
        <v>5</v>
      </c>
      <c r="K30" cm="1">
        <f t="array" ref="K30">IF(COUNTA(_xlfn.UNIQUE(_xlfn._xlws.FILTER($C$2:$C$1001,$B$2:$B$1001=B30)))=1,1,0)</f>
        <v>0</v>
      </c>
    </row>
    <row r="31" spans="1:11" x14ac:dyDescent="0.2">
      <c r="A31" t="s">
        <v>48</v>
      </c>
      <c r="B31" t="s">
        <v>17</v>
      </c>
      <c r="C31" t="s">
        <v>13</v>
      </c>
      <c r="D31" t="s">
        <v>1045</v>
      </c>
      <c r="E31">
        <v>60</v>
      </c>
      <c r="F31">
        <v>121</v>
      </c>
      <c r="G31">
        <v>390.9</v>
      </c>
      <c r="H31">
        <v>3</v>
      </c>
      <c r="I31">
        <v>5</v>
      </c>
      <c r="J31">
        <v>5</v>
      </c>
      <c r="K31" cm="1">
        <f t="array" ref="K31">IF(COUNTA(_xlfn.UNIQUE(_xlfn._xlws.FILTER($C$2:$C$1001,$B$2:$B$1001=B31)))=1,1,0)</f>
        <v>0</v>
      </c>
    </row>
    <row r="32" spans="1:11" x14ac:dyDescent="0.2">
      <c r="A32" t="s">
        <v>49</v>
      </c>
      <c r="B32" t="s">
        <v>17</v>
      </c>
      <c r="C32" t="s">
        <v>18</v>
      </c>
      <c r="D32" t="s">
        <v>1037</v>
      </c>
      <c r="E32">
        <v>54</v>
      </c>
      <c r="F32">
        <v>897</v>
      </c>
      <c r="G32">
        <v>438.44</v>
      </c>
      <c r="H32">
        <v>3</v>
      </c>
      <c r="I32">
        <v>3</v>
      </c>
      <c r="J32">
        <v>4</v>
      </c>
      <c r="K32" cm="1">
        <f t="array" ref="K32">IF(COUNTA(_xlfn.UNIQUE(_xlfn._xlws.FILTER($C$2:$C$1001,$B$2:$B$1001=B32)))=1,1,0)</f>
        <v>0</v>
      </c>
    </row>
    <row r="33" spans="1:11" x14ac:dyDescent="0.2">
      <c r="A33" t="s">
        <v>50</v>
      </c>
      <c r="B33" t="s">
        <v>12</v>
      </c>
      <c r="C33" t="s">
        <v>13</v>
      </c>
      <c r="D33" t="s">
        <v>1036</v>
      </c>
      <c r="E33">
        <v>12</v>
      </c>
      <c r="F33">
        <v>611</v>
      </c>
      <c r="G33">
        <v>430.57</v>
      </c>
      <c r="H33">
        <v>4</v>
      </c>
      <c r="I33">
        <v>4</v>
      </c>
      <c r="J33">
        <v>4</v>
      </c>
      <c r="K33" cm="1">
        <f t="array" ref="K33">IF(COUNTA(_xlfn.UNIQUE(_xlfn._xlws.FILTER($C$2:$C$1001,$B$2:$B$1001=B33)))=1,1,0)</f>
        <v>0</v>
      </c>
    </row>
    <row r="34" spans="1:11" x14ac:dyDescent="0.2">
      <c r="A34" t="s">
        <v>51</v>
      </c>
      <c r="B34" t="s">
        <v>12</v>
      </c>
      <c r="C34" t="s">
        <v>28</v>
      </c>
      <c r="D34" t="s">
        <v>1042</v>
      </c>
      <c r="E34">
        <v>69</v>
      </c>
      <c r="F34">
        <v>448</v>
      </c>
      <c r="G34">
        <v>485.92</v>
      </c>
      <c r="H34">
        <v>5</v>
      </c>
      <c r="I34">
        <v>3</v>
      </c>
      <c r="J34">
        <v>4</v>
      </c>
      <c r="K34" cm="1">
        <f t="array" ref="K34">IF(COUNTA(_xlfn.UNIQUE(_xlfn._xlws.FILTER($C$2:$C$1001,$B$2:$B$1001=B34)))=1,1,0)</f>
        <v>0</v>
      </c>
    </row>
    <row r="35" spans="1:11" x14ac:dyDescent="0.2">
      <c r="A35" t="s">
        <v>52</v>
      </c>
      <c r="B35" t="s">
        <v>21</v>
      </c>
      <c r="C35" t="s">
        <v>18</v>
      </c>
      <c r="D35" t="s">
        <v>1038</v>
      </c>
      <c r="E35">
        <v>60</v>
      </c>
      <c r="F35">
        <v>355</v>
      </c>
      <c r="G35">
        <v>455.34</v>
      </c>
      <c r="H35">
        <v>4</v>
      </c>
      <c r="I35">
        <v>5</v>
      </c>
      <c r="J35">
        <v>4</v>
      </c>
      <c r="K35" cm="1">
        <f t="array" ref="K35">IF(COUNTA(_xlfn.UNIQUE(_xlfn._xlws.FILTER($C$2:$C$1001,$B$2:$B$1001=B35)))=1,1,0)</f>
        <v>0</v>
      </c>
    </row>
    <row r="36" spans="1:11" x14ac:dyDescent="0.2">
      <c r="A36" t="s">
        <v>53</v>
      </c>
      <c r="B36" t="s">
        <v>23</v>
      </c>
      <c r="C36" t="s">
        <v>28</v>
      </c>
      <c r="D36" t="s">
        <v>1046</v>
      </c>
      <c r="E36">
        <v>33</v>
      </c>
      <c r="F36">
        <v>725</v>
      </c>
      <c r="G36">
        <v>221.12</v>
      </c>
      <c r="H36">
        <v>4</v>
      </c>
      <c r="I36">
        <v>5</v>
      </c>
      <c r="J36">
        <v>5</v>
      </c>
      <c r="K36" cm="1">
        <f t="array" ref="K36">IF(COUNTA(_xlfn.UNIQUE(_xlfn._xlws.FILTER($C$2:$C$1001,$B$2:$B$1001=B36)))=1,1,0)</f>
        <v>0</v>
      </c>
    </row>
    <row r="37" spans="1:11" x14ac:dyDescent="0.2">
      <c r="A37" t="s">
        <v>54</v>
      </c>
      <c r="B37" t="s">
        <v>23</v>
      </c>
      <c r="C37" t="s">
        <v>28</v>
      </c>
      <c r="D37" t="s">
        <v>1046</v>
      </c>
      <c r="E37">
        <v>32</v>
      </c>
      <c r="F37">
        <v>492</v>
      </c>
      <c r="G37">
        <v>422.23</v>
      </c>
      <c r="H37">
        <v>4</v>
      </c>
      <c r="I37">
        <v>5</v>
      </c>
      <c r="J37">
        <v>4</v>
      </c>
      <c r="K37" cm="1">
        <f t="array" ref="K37">IF(COUNTA(_xlfn.UNIQUE(_xlfn._xlws.FILTER($C$2:$C$1001,$B$2:$B$1001=B37)))=1,1,0)</f>
        <v>0</v>
      </c>
    </row>
    <row r="38" spans="1:11" x14ac:dyDescent="0.2">
      <c r="A38" t="s">
        <v>55</v>
      </c>
      <c r="B38" t="s">
        <v>12</v>
      </c>
      <c r="C38" t="s">
        <v>18</v>
      </c>
      <c r="D38" t="s">
        <v>1047</v>
      </c>
      <c r="E38">
        <v>22</v>
      </c>
      <c r="F38">
        <v>927</v>
      </c>
      <c r="G38">
        <v>383.45</v>
      </c>
      <c r="H38">
        <v>4</v>
      </c>
      <c r="I38">
        <v>4</v>
      </c>
      <c r="J38">
        <v>5</v>
      </c>
      <c r="K38" cm="1">
        <f t="array" ref="K38">IF(COUNTA(_xlfn.UNIQUE(_xlfn._xlws.FILTER($C$2:$C$1001,$B$2:$B$1001=B38)))=1,1,0)</f>
        <v>0</v>
      </c>
    </row>
    <row r="39" spans="1:11" x14ac:dyDescent="0.2">
      <c r="A39" t="s">
        <v>56</v>
      </c>
      <c r="B39" t="s">
        <v>23</v>
      </c>
      <c r="C39" t="s">
        <v>28</v>
      </c>
      <c r="D39" t="s">
        <v>1046</v>
      </c>
      <c r="E39">
        <v>57</v>
      </c>
      <c r="F39">
        <v>191</v>
      </c>
      <c r="G39">
        <v>301.39999999999998</v>
      </c>
      <c r="H39">
        <v>5</v>
      </c>
      <c r="I39">
        <v>4</v>
      </c>
      <c r="J39">
        <v>5</v>
      </c>
      <c r="K39" cm="1">
        <f t="array" ref="K39">IF(COUNTA(_xlfn.UNIQUE(_xlfn._xlws.FILTER($C$2:$C$1001,$B$2:$B$1001=B39)))=1,1,0)</f>
        <v>0</v>
      </c>
    </row>
    <row r="40" spans="1:11" x14ac:dyDescent="0.2">
      <c r="A40" t="s">
        <v>57</v>
      </c>
      <c r="B40" t="s">
        <v>21</v>
      </c>
      <c r="C40" t="s">
        <v>18</v>
      </c>
      <c r="D40" t="s">
        <v>1038</v>
      </c>
      <c r="E40">
        <v>21</v>
      </c>
      <c r="F40">
        <v>249</v>
      </c>
      <c r="G40">
        <v>494.55</v>
      </c>
      <c r="H40">
        <v>5</v>
      </c>
      <c r="I40">
        <v>4</v>
      </c>
      <c r="J40">
        <v>5</v>
      </c>
      <c r="K40" cm="1">
        <f t="array" ref="K40">IF(COUNTA(_xlfn.UNIQUE(_xlfn._xlws.FILTER($C$2:$C$1001,$B$2:$B$1001=B40)))=1,1,0)</f>
        <v>0</v>
      </c>
    </row>
    <row r="41" spans="1:11" x14ac:dyDescent="0.2">
      <c r="A41" t="s">
        <v>58</v>
      </c>
      <c r="B41" t="s">
        <v>23</v>
      </c>
      <c r="C41" t="s">
        <v>18</v>
      </c>
      <c r="D41" t="s">
        <v>1039</v>
      </c>
      <c r="E41">
        <v>53</v>
      </c>
      <c r="F41">
        <v>363</v>
      </c>
      <c r="G41">
        <v>298</v>
      </c>
      <c r="H41">
        <v>5</v>
      </c>
      <c r="I41">
        <v>5</v>
      </c>
      <c r="J41">
        <v>4</v>
      </c>
      <c r="K41" cm="1">
        <f t="array" ref="K41">IF(COUNTA(_xlfn.UNIQUE(_xlfn._xlws.FILTER($C$2:$C$1001,$B$2:$B$1001=B41)))=1,1,0)</f>
        <v>0</v>
      </c>
    </row>
    <row r="42" spans="1:11" x14ac:dyDescent="0.2">
      <c r="A42" t="s">
        <v>59</v>
      </c>
      <c r="B42" t="s">
        <v>12</v>
      </c>
      <c r="C42" t="s">
        <v>13</v>
      </c>
      <c r="D42" t="s">
        <v>1036</v>
      </c>
      <c r="E42">
        <v>69</v>
      </c>
      <c r="F42">
        <v>368</v>
      </c>
      <c r="G42">
        <v>417.83</v>
      </c>
      <c r="H42">
        <v>5</v>
      </c>
      <c r="I42">
        <v>4</v>
      </c>
      <c r="J42">
        <v>5</v>
      </c>
      <c r="K42" cm="1">
        <f t="array" ref="K42">IF(COUNTA(_xlfn.UNIQUE(_xlfn._xlws.FILTER($C$2:$C$1001,$B$2:$B$1001=B42)))=1,1,0)</f>
        <v>0</v>
      </c>
    </row>
    <row r="43" spans="1:11" x14ac:dyDescent="0.2">
      <c r="A43" t="s">
        <v>60</v>
      </c>
      <c r="B43" t="s">
        <v>12</v>
      </c>
      <c r="C43" t="s">
        <v>28</v>
      </c>
      <c r="D43" t="s">
        <v>1042</v>
      </c>
      <c r="E43">
        <v>18</v>
      </c>
      <c r="F43">
        <v>840</v>
      </c>
      <c r="G43">
        <v>223.54</v>
      </c>
      <c r="H43">
        <v>5</v>
      </c>
      <c r="I43">
        <v>4</v>
      </c>
      <c r="J43">
        <v>5</v>
      </c>
      <c r="K43" cm="1">
        <f t="array" ref="K43">IF(COUNTA(_xlfn.UNIQUE(_xlfn._xlws.FILTER($C$2:$C$1001,$B$2:$B$1001=B43)))=1,1,0)</f>
        <v>0</v>
      </c>
    </row>
    <row r="44" spans="1:11" x14ac:dyDescent="0.2">
      <c r="A44" t="s">
        <v>61</v>
      </c>
      <c r="B44" t="s">
        <v>21</v>
      </c>
      <c r="C44" t="s">
        <v>13</v>
      </c>
      <c r="D44" t="s">
        <v>1040</v>
      </c>
      <c r="E44">
        <v>7</v>
      </c>
      <c r="F44">
        <v>850</v>
      </c>
      <c r="G44">
        <v>474.56</v>
      </c>
      <c r="H44">
        <v>3</v>
      </c>
      <c r="I44">
        <v>4</v>
      </c>
      <c r="J44">
        <v>5</v>
      </c>
      <c r="K44" cm="1">
        <f t="array" ref="K44">IF(COUNTA(_xlfn.UNIQUE(_xlfn._xlws.FILTER($C$2:$C$1001,$B$2:$B$1001=B44)))=1,1,0)</f>
        <v>0</v>
      </c>
    </row>
    <row r="45" spans="1:11" x14ac:dyDescent="0.2">
      <c r="A45" t="s">
        <v>62</v>
      </c>
      <c r="B45" t="s">
        <v>17</v>
      </c>
      <c r="C45" t="s">
        <v>28</v>
      </c>
      <c r="D45" t="s">
        <v>1043</v>
      </c>
      <c r="E45">
        <v>63</v>
      </c>
      <c r="F45">
        <v>680</v>
      </c>
      <c r="G45">
        <v>397.13</v>
      </c>
      <c r="H45">
        <v>4</v>
      </c>
      <c r="I45">
        <v>5</v>
      </c>
      <c r="J45">
        <v>5</v>
      </c>
      <c r="K45" cm="1">
        <f t="array" ref="K45">IF(COUNTA(_xlfn.UNIQUE(_xlfn._xlws.FILTER($C$2:$C$1001,$B$2:$B$1001=B45)))=1,1,0)</f>
        <v>0</v>
      </c>
    </row>
    <row r="46" spans="1:11" x14ac:dyDescent="0.2">
      <c r="A46" t="s">
        <v>63</v>
      </c>
      <c r="B46" t="s">
        <v>21</v>
      </c>
      <c r="C46" t="s">
        <v>18</v>
      </c>
      <c r="D46" t="s">
        <v>1038</v>
      </c>
      <c r="E46">
        <v>54</v>
      </c>
      <c r="F46">
        <v>193</v>
      </c>
      <c r="G46">
        <v>213.8</v>
      </c>
      <c r="H46">
        <v>5</v>
      </c>
      <c r="I46">
        <v>5</v>
      </c>
      <c r="J46">
        <v>5</v>
      </c>
      <c r="K46" cm="1">
        <f t="array" ref="K46">IF(COUNTA(_xlfn.UNIQUE(_xlfn._xlws.FILTER($C$2:$C$1001,$B$2:$B$1001=B46)))=1,1,0)</f>
        <v>0</v>
      </c>
    </row>
    <row r="47" spans="1:11" x14ac:dyDescent="0.2">
      <c r="A47" t="s">
        <v>64</v>
      </c>
      <c r="B47" t="s">
        <v>21</v>
      </c>
      <c r="C47" t="s">
        <v>13</v>
      </c>
      <c r="D47" t="s">
        <v>1040</v>
      </c>
      <c r="E47">
        <v>40</v>
      </c>
      <c r="F47">
        <v>833</v>
      </c>
      <c r="G47">
        <v>251.96</v>
      </c>
      <c r="H47">
        <v>4</v>
      </c>
      <c r="I47">
        <v>4</v>
      </c>
      <c r="J47">
        <v>4</v>
      </c>
      <c r="K47" cm="1">
        <f t="array" ref="K47">IF(COUNTA(_xlfn.UNIQUE(_xlfn._xlws.FILTER($C$2:$C$1001,$B$2:$B$1001=B47)))=1,1,0)</f>
        <v>0</v>
      </c>
    </row>
    <row r="48" spans="1:11" x14ac:dyDescent="0.2">
      <c r="A48" t="s">
        <v>65</v>
      </c>
      <c r="B48" t="s">
        <v>17</v>
      </c>
      <c r="C48" t="s">
        <v>18</v>
      </c>
      <c r="D48" t="s">
        <v>1037</v>
      </c>
      <c r="E48">
        <v>8</v>
      </c>
      <c r="F48">
        <v>541</v>
      </c>
      <c r="G48">
        <v>387.76</v>
      </c>
      <c r="H48">
        <v>3</v>
      </c>
      <c r="I48">
        <v>5</v>
      </c>
      <c r="J48">
        <v>5</v>
      </c>
      <c r="K48" cm="1">
        <f t="array" ref="K48">IF(COUNTA(_xlfn.UNIQUE(_xlfn._xlws.FILTER($C$2:$C$1001,$B$2:$B$1001=B48)))=1,1,0)</f>
        <v>0</v>
      </c>
    </row>
    <row r="49" spans="1:11" x14ac:dyDescent="0.2">
      <c r="A49" t="s">
        <v>66</v>
      </c>
      <c r="B49" t="s">
        <v>21</v>
      </c>
      <c r="C49" t="s">
        <v>28</v>
      </c>
      <c r="D49" t="s">
        <v>1044</v>
      </c>
      <c r="E49">
        <v>67</v>
      </c>
      <c r="F49">
        <v>951</v>
      </c>
      <c r="G49">
        <v>390.92</v>
      </c>
      <c r="H49">
        <v>4</v>
      </c>
      <c r="I49">
        <v>4</v>
      </c>
      <c r="J49">
        <v>5</v>
      </c>
      <c r="K49" cm="1">
        <f t="array" ref="K49">IF(COUNTA(_xlfn.UNIQUE(_xlfn._xlws.FILTER($C$2:$C$1001,$B$2:$B$1001=B49)))=1,1,0)</f>
        <v>0</v>
      </c>
    </row>
    <row r="50" spans="1:11" x14ac:dyDescent="0.2">
      <c r="A50" t="s">
        <v>67</v>
      </c>
      <c r="B50" t="s">
        <v>12</v>
      </c>
      <c r="C50" t="s">
        <v>28</v>
      </c>
      <c r="D50" t="s">
        <v>1042</v>
      </c>
      <c r="E50">
        <v>18</v>
      </c>
      <c r="F50">
        <v>676</v>
      </c>
      <c r="G50">
        <v>387.78</v>
      </c>
      <c r="H50">
        <v>3</v>
      </c>
      <c r="I50">
        <v>3</v>
      </c>
      <c r="J50">
        <v>4</v>
      </c>
      <c r="K50" cm="1">
        <f t="array" ref="K50">IF(COUNTA(_xlfn.UNIQUE(_xlfn._xlws.FILTER($C$2:$C$1001,$B$2:$B$1001=B50)))=1,1,0)</f>
        <v>0</v>
      </c>
    </row>
    <row r="51" spans="1:11" x14ac:dyDescent="0.2">
      <c r="A51" t="s">
        <v>68</v>
      </c>
      <c r="B51" t="s">
        <v>12</v>
      </c>
      <c r="C51" t="s">
        <v>13</v>
      </c>
      <c r="D51" t="s">
        <v>1036</v>
      </c>
      <c r="E51">
        <v>80</v>
      </c>
      <c r="F51">
        <v>853</v>
      </c>
      <c r="G51">
        <v>211.69</v>
      </c>
      <c r="H51">
        <v>4</v>
      </c>
      <c r="I51">
        <v>5</v>
      </c>
      <c r="J51">
        <v>4</v>
      </c>
      <c r="K51" cm="1">
        <f t="array" ref="K51">IF(COUNTA(_xlfn.UNIQUE(_xlfn._xlws.FILTER($C$2:$C$1001,$B$2:$B$1001=B51)))=1,1,0)</f>
        <v>0</v>
      </c>
    </row>
    <row r="52" spans="1:11" x14ac:dyDescent="0.2">
      <c r="A52" t="s">
        <v>69</v>
      </c>
      <c r="B52" t="s">
        <v>23</v>
      </c>
      <c r="C52" t="s">
        <v>18</v>
      </c>
      <c r="D52" t="s">
        <v>1039</v>
      </c>
      <c r="E52">
        <v>42</v>
      </c>
      <c r="F52">
        <v>295</v>
      </c>
      <c r="G52">
        <v>278.20999999999998</v>
      </c>
      <c r="H52">
        <v>5</v>
      </c>
      <c r="I52">
        <v>4</v>
      </c>
      <c r="J52">
        <v>5</v>
      </c>
      <c r="K52" cm="1">
        <f t="array" ref="K52">IF(COUNTA(_xlfn.UNIQUE(_xlfn._xlws.FILTER($C$2:$C$1001,$B$2:$B$1001=B52)))=1,1,0)</f>
        <v>0</v>
      </c>
    </row>
    <row r="53" spans="1:11" x14ac:dyDescent="0.2">
      <c r="A53" t="s">
        <v>70</v>
      </c>
      <c r="B53" t="s">
        <v>21</v>
      </c>
      <c r="C53" t="s">
        <v>28</v>
      </c>
      <c r="D53" t="s">
        <v>1044</v>
      </c>
      <c r="E53">
        <v>42</v>
      </c>
      <c r="F53">
        <v>493</v>
      </c>
      <c r="G53">
        <v>284.61</v>
      </c>
      <c r="H53">
        <v>3</v>
      </c>
      <c r="I53">
        <v>5</v>
      </c>
      <c r="J53">
        <v>4</v>
      </c>
      <c r="K53" cm="1">
        <f t="array" ref="K53">IF(COUNTA(_xlfn.UNIQUE(_xlfn._xlws.FILTER($C$2:$C$1001,$B$2:$B$1001=B53)))=1,1,0)</f>
        <v>0</v>
      </c>
    </row>
    <row r="54" spans="1:11" x14ac:dyDescent="0.2">
      <c r="A54" t="s">
        <v>71</v>
      </c>
      <c r="B54" t="s">
        <v>23</v>
      </c>
      <c r="C54" t="s">
        <v>18</v>
      </c>
      <c r="D54" t="s">
        <v>1039</v>
      </c>
      <c r="E54">
        <v>29</v>
      </c>
      <c r="F54">
        <v>762</v>
      </c>
      <c r="G54">
        <v>374.16</v>
      </c>
      <c r="H54">
        <v>5</v>
      </c>
      <c r="I54">
        <v>3</v>
      </c>
      <c r="J54">
        <v>5</v>
      </c>
      <c r="K54" cm="1">
        <f t="array" ref="K54">IF(COUNTA(_xlfn.UNIQUE(_xlfn._xlws.FILTER($C$2:$C$1001,$B$2:$B$1001=B54)))=1,1,0)</f>
        <v>0</v>
      </c>
    </row>
    <row r="55" spans="1:11" x14ac:dyDescent="0.2">
      <c r="A55" t="s">
        <v>72</v>
      </c>
      <c r="B55" t="s">
        <v>21</v>
      </c>
      <c r="C55" t="s">
        <v>18</v>
      </c>
      <c r="D55" t="s">
        <v>1038</v>
      </c>
      <c r="E55">
        <v>65</v>
      </c>
      <c r="F55">
        <v>980</v>
      </c>
      <c r="G55">
        <v>313.32</v>
      </c>
      <c r="H55">
        <v>4</v>
      </c>
      <c r="I55">
        <v>3</v>
      </c>
      <c r="J55">
        <v>5</v>
      </c>
      <c r="K55" cm="1">
        <f t="array" ref="K55">IF(COUNTA(_xlfn.UNIQUE(_xlfn._xlws.FILTER($C$2:$C$1001,$B$2:$B$1001=B55)))=1,1,0)</f>
        <v>0</v>
      </c>
    </row>
    <row r="56" spans="1:11" x14ac:dyDescent="0.2">
      <c r="A56" t="s">
        <v>73</v>
      </c>
      <c r="B56" t="s">
        <v>12</v>
      </c>
      <c r="C56" t="s">
        <v>28</v>
      </c>
      <c r="D56" t="s">
        <v>1042</v>
      </c>
      <c r="E56">
        <v>58</v>
      </c>
      <c r="F56">
        <v>332</v>
      </c>
      <c r="G56">
        <v>203.25</v>
      </c>
      <c r="H56">
        <v>4</v>
      </c>
      <c r="I56">
        <v>5</v>
      </c>
      <c r="J56">
        <v>4</v>
      </c>
      <c r="K56" cm="1">
        <f t="array" ref="K56">IF(COUNTA(_xlfn.UNIQUE(_xlfn._xlws.FILTER($C$2:$C$1001,$B$2:$B$1001=B56)))=1,1,0)</f>
        <v>0</v>
      </c>
    </row>
    <row r="57" spans="1:11" x14ac:dyDescent="0.2">
      <c r="A57" t="s">
        <v>74</v>
      </c>
      <c r="B57" t="s">
        <v>12</v>
      </c>
      <c r="C57" t="s">
        <v>28</v>
      </c>
      <c r="D57" t="s">
        <v>1042</v>
      </c>
      <c r="E57">
        <v>29</v>
      </c>
      <c r="F57">
        <v>168</v>
      </c>
      <c r="G57">
        <v>224.99</v>
      </c>
      <c r="H57">
        <v>4</v>
      </c>
      <c r="I57">
        <v>3</v>
      </c>
      <c r="J57">
        <v>4</v>
      </c>
      <c r="K57" cm="1">
        <f t="array" ref="K57">IF(COUNTA(_xlfn.UNIQUE(_xlfn._xlws.FILTER($C$2:$C$1001,$B$2:$B$1001=B57)))=1,1,0)</f>
        <v>0</v>
      </c>
    </row>
    <row r="58" spans="1:11" x14ac:dyDescent="0.2">
      <c r="A58" t="s">
        <v>75</v>
      </c>
      <c r="B58" t="s">
        <v>17</v>
      </c>
      <c r="C58" t="s">
        <v>28</v>
      </c>
      <c r="D58" t="s">
        <v>1043</v>
      </c>
      <c r="E58">
        <v>41</v>
      </c>
      <c r="F58">
        <v>141</v>
      </c>
      <c r="G58">
        <v>227.36</v>
      </c>
      <c r="H58">
        <v>4</v>
      </c>
      <c r="I58">
        <v>3</v>
      </c>
      <c r="J58">
        <v>5</v>
      </c>
      <c r="K58" cm="1">
        <f t="array" ref="K58">IF(COUNTA(_xlfn.UNIQUE(_xlfn._xlws.FILTER($C$2:$C$1001,$B$2:$B$1001=B58)))=1,1,0)</f>
        <v>0</v>
      </c>
    </row>
    <row r="59" spans="1:11" x14ac:dyDescent="0.2">
      <c r="A59" t="s">
        <v>76</v>
      </c>
      <c r="B59" t="s">
        <v>12</v>
      </c>
      <c r="C59" t="s">
        <v>13</v>
      </c>
      <c r="D59" t="s">
        <v>1036</v>
      </c>
      <c r="E59">
        <v>13</v>
      </c>
      <c r="F59">
        <v>850</v>
      </c>
      <c r="G59">
        <v>411.75</v>
      </c>
      <c r="H59">
        <v>3</v>
      </c>
      <c r="I59">
        <v>3</v>
      </c>
      <c r="J59">
        <v>5</v>
      </c>
      <c r="K59" cm="1">
        <f t="array" ref="K59">IF(COUNTA(_xlfn.UNIQUE(_xlfn._xlws.FILTER($C$2:$C$1001,$B$2:$B$1001=B59)))=1,1,0)</f>
        <v>0</v>
      </c>
    </row>
    <row r="60" spans="1:11" x14ac:dyDescent="0.2">
      <c r="A60" t="s">
        <v>77</v>
      </c>
      <c r="B60" t="s">
        <v>23</v>
      </c>
      <c r="C60" t="s">
        <v>18</v>
      </c>
      <c r="D60" t="s">
        <v>1039</v>
      </c>
      <c r="E60">
        <v>89</v>
      </c>
      <c r="F60">
        <v>894</v>
      </c>
      <c r="G60">
        <v>221.83</v>
      </c>
      <c r="H60">
        <v>3</v>
      </c>
      <c r="I60">
        <v>5</v>
      </c>
      <c r="J60">
        <v>5</v>
      </c>
      <c r="K60" cm="1">
        <f t="array" ref="K60">IF(COUNTA(_xlfn.UNIQUE(_xlfn._xlws.FILTER($C$2:$C$1001,$B$2:$B$1001=B60)))=1,1,0)</f>
        <v>0</v>
      </c>
    </row>
    <row r="61" spans="1:11" x14ac:dyDescent="0.2">
      <c r="A61" t="s">
        <v>78</v>
      </c>
      <c r="B61" t="s">
        <v>17</v>
      </c>
      <c r="C61" t="s">
        <v>18</v>
      </c>
      <c r="D61" t="s">
        <v>1037</v>
      </c>
      <c r="E61">
        <v>37</v>
      </c>
      <c r="F61">
        <v>599</v>
      </c>
      <c r="G61">
        <v>311.19</v>
      </c>
      <c r="H61">
        <v>4</v>
      </c>
      <c r="I61">
        <v>4</v>
      </c>
      <c r="J61">
        <v>4</v>
      </c>
      <c r="K61" cm="1">
        <f t="array" ref="K61">IF(COUNTA(_xlfn.UNIQUE(_xlfn._xlws.FILTER($C$2:$C$1001,$B$2:$B$1001=B61)))=1,1,0)</f>
        <v>0</v>
      </c>
    </row>
    <row r="62" spans="1:11" x14ac:dyDescent="0.2">
      <c r="A62" t="s">
        <v>79</v>
      </c>
      <c r="B62" t="s">
        <v>12</v>
      </c>
      <c r="C62" t="s">
        <v>28</v>
      </c>
      <c r="D62" t="s">
        <v>1042</v>
      </c>
      <c r="E62">
        <v>51</v>
      </c>
      <c r="F62">
        <v>190</v>
      </c>
      <c r="G62">
        <v>367.52</v>
      </c>
      <c r="H62">
        <v>4</v>
      </c>
      <c r="I62">
        <v>5</v>
      </c>
      <c r="J62">
        <v>5</v>
      </c>
      <c r="K62" cm="1">
        <f t="array" ref="K62">IF(COUNTA(_xlfn.UNIQUE(_xlfn._xlws.FILTER($C$2:$C$1001,$B$2:$B$1001=B62)))=1,1,0)</f>
        <v>0</v>
      </c>
    </row>
    <row r="63" spans="1:11" x14ac:dyDescent="0.2">
      <c r="A63" t="s">
        <v>80</v>
      </c>
      <c r="B63" t="s">
        <v>21</v>
      </c>
      <c r="C63" t="s">
        <v>28</v>
      </c>
      <c r="D63" t="s">
        <v>1044</v>
      </c>
      <c r="E63">
        <v>7</v>
      </c>
      <c r="F63">
        <v>759</v>
      </c>
      <c r="G63">
        <v>371.44</v>
      </c>
      <c r="H63">
        <v>4</v>
      </c>
      <c r="I63">
        <v>5</v>
      </c>
      <c r="J63">
        <v>5</v>
      </c>
      <c r="K63" cm="1">
        <f t="array" ref="K63">IF(COUNTA(_xlfn.UNIQUE(_xlfn._xlws.FILTER($C$2:$C$1001,$B$2:$B$1001=B63)))=1,1,0)</f>
        <v>0</v>
      </c>
    </row>
    <row r="64" spans="1:11" x14ac:dyDescent="0.2">
      <c r="A64" t="s">
        <v>81</v>
      </c>
      <c r="B64" t="s">
        <v>12</v>
      </c>
      <c r="C64" t="s">
        <v>18</v>
      </c>
      <c r="D64" t="s">
        <v>1047</v>
      </c>
      <c r="E64">
        <v>12</v>
      </c>
      <c r="F64">
        <v>290</v>
      </c>
      <c r="G64">
        <v>488.65</v>
      </c>
      <c r="H64">
        <v>4</v>
      </c>
      <c r="I64">
        <v>4</v>
      </c>
      <c r="J64">
        <v>5</v>
      </c>
      <c r="K64" cm="1">
        <f t="array" ref="K64">IF(COUNTA(_xlfn.UNIQUE(_xlfn._xlws.FILTER($C$2:$C$1001,$B$2:$B$1001=B64)))=1,1,0)</f>
        <v>0</v>
      </c>
    </row>
    <row r="65" spans="1:11" x14ac:dyDescent="0.2">
      <c r="A65" t="s">
        <v>82</v>
      </c>
      <c r="B65" t="s">
        <v>23</v>
      </c>
      <c r="C65" t="s">
        <v>13</v>
      </c>
      <c r="D65" t="s">
        <v>1041</v>
      </c>
      <c r="E65">
        <v>42</v>
      </c>
      <c r="F65">
        <v>928</v>
      </c>
      <c r="G65">
        <v>490.96</v>
      </c>
      <c r="H65">
        <v>4</v>
      </c>
      <c r="I65">
        <v>5</v>
      </c>
      <c r="J65">
        <v>4</v>
      </c>
      <c r="K65" cm="1">
        <f t="array" ref="K65">IF(COUNTA(_xlfn.UNIQUE(_xlfn._xlws.FILTER($C$2:$C$1001,$B$2:$B$1001=B65)))=1,1,0)</f>
        <v>0</v>
      </c>
    </row>
    <row r="66" spans="1:11" x14ac:dyDescent="0.2">
      <c r="A66" t="s">
        <v>83</v>
      </c>
      <c r="B66" t="s">
        <v>12</v>
      </c>
      <c r="C66" t="s">
        <v>28</v>
      </c>
      <c r="D66" t="s">
        <v>1042</v>
      </c>
      <c r="E66">
        <v>60</v>
      </c>
      <c r="F66">
        <v>146</v>
      </c>
      <c r="G66">
        <v>222.63</v>
      </c>
      <c r="H66">
        <v>5</v>
      </c>
      <c r="I66">
        <v>4</v>
      </c>
      <c r="J66">
        <v>4</v>
      </c>
      <c r="K66" cm="1">
        <f t="array" ref="K66">IF(COUNTA(_xlfn.UNIQUE(_xlfn._xlws.FILTER($C$2:$C$1001,$B$2:$B$1001=B66)))=1,1,0)</f>
        <v>0</v>
      </c>
    </row>
    <row r="67" spans="1:11" x14ac:dyDescent="0.2">
      <c r="A67" t="s">
        <v>84</v>
      </c>
      <c r="B67" t="s">
        <v>23</v>
      </c>
      <c r="C67" t="s">
        <v>13</v>
      </c>
      <c r="D67" t="s">
        <v>1041</v>
      </c>
      <c r="E67">
        <v>42</v>
      </c>
      <c r="F67">
        <v>111</v>
      </c>
      <c r="G67">
        <v>421.13</v>
      </c>
      <c r="H67">
        <v>3</v>
      </c>
      <c r="I67">
        <v>5</v>
      </c>
      <c r="J67">
        <v>5</v>
      </c>
      <c r="K67" cm="1">
        <f t="array" ref="K67">IF(COUNTA(_xlfn.UNIQUE(_xlfn._xlws.FILTER($C$2:$C$1001,$B$2:$B$1001=B67)))=1,1,0)</f>
        <v>0</v>
      </c>
    </row>
    <row r="68" spans="1:11" x14ac:dyDescent="0.2">
      <c r="A68" t="s">
        <v>85</v>
      </c>
      <c r="B68" t="s">
        <v>23</v>
      </c>
      <c r="C68" t="s">
        <v>28</v>
      </c>
      <c r="D68" t="s">
        <v>1046</v>
      </c>
      <c r="E68">
        <v>23</v>
      </c>
      <c r="F68">
        <v>639</v>
      </c>
      <c r="G68">
        <v>268.82</v>
      </c>
      <c r="H68">
        <v>5</v>
      </c>
      <c r="I68">
        <v>5</v>
      </c>
      <c r="J68">
        <v>5</v>
      </c>
      <c r="K68" cm="1">
        <f t="array" ref="K68">IF(COUNTA(_xlfn.UNIQUE(_xlfn._xlws.FILTER($C$2:$C$1001,$B$2:$B$1001=B68)))=1,1,0)</f>
        <v>0</v>
      </c>
    </row>
    <row r="69" spans="1:11" x14ac:dyDescent="0.2">
      <c r="A69" t="s">
        <v>86</v>
      </c>
      <c r="B69" t="s">
        <v>21</v>
      </c>
      <c r="C69" t="s">
        <v>13</v>
      </c>
      <c r="D69" t="s">
        <v>1040</v>
      </c>
      <c r="E69">
        <v>12</v>
      </c>
      <c r="F69">
        <v>831</v>
      </c>
      <c r="G69">
        <v>444.14</v>
      </c>
      <c r="H69">
        <v>5</v>
      </c>
      <c r="I69">
        <v>3</v>
      </c>
      <c r="J69">
        <v>5</v>
      </c>
      <c r="K69" cm="1">
        <f t="array" ref="K69">IF(COUNTA(_xlfn.UNIQUE(_xlfn._xlws.FILTER($C$2:$C$1001,$B$2:$B$1001=B69)))=1,1,0)</f>
        <v>0</v>
      </c>
    </row>
    <row r="70" spans="1:11" x14ac:dyDescent="0.2">
      <c r="A70" t="s">
        <v>87</v>
      </c>
      <c r="B70" t="s">
        <v>23</v>
      </c>
      <c r="C70" t="s">
        <v>13</v>
      </c>
      <c r="D70" t="s">
        <v>1041</v>
      </c>
      <c r="E70">
        <v>11</v>
      </c>
      <c r="F70">
        <v>549</v>
      </c>
      <c r="G70">
        <v>374.35</v>
      </c>
      <c r="H70">
        <v>5</v>
      </c>
      <c r="I70">
        <v>4</v>
      </c>
      <c r="J70">
        <v>5</v>
      </c>
      <c r="K70" cm="1">
        <f t="array" ref="K70">IF(COUNTA(_xlfn.UNIQUE(_xlfn._xlws.FILTER($C$2:$C$1001,$B$2:$B$1001=B70)))=1,1,0)</f>
        <v>0</v>
      </c>
    </row>
    <row r="71" spans="1:11" x14ac:dyDescent="0.2">
      <c r="A71" t="s">
        <v>88</v>
      </c>
      <c r="B71" t="s">
        <v>12</v>
      </c>
      <c r="C71" t="s">
        <v>28</v>
      </c>
      <c r="D71" t="s">
        <v>1042</v>
      </c>
      <c r="E71">
        <v>69</v>
      </c>
      <c r="F71">
        <v>245</v>
      </c>
      <c r="G71">
        <v>433.28</v>
      </c>
      <c r="H71">
        <v>4</v>
      </c>
      <c r="I71">
        <v>4</v>
      </c>
      <c r="J71">
        <v>5</v>
      </c>
      <c r="K71" cm="1">
        <f t="array" ref="K71">IF(COUNTA(_xlfn.UNIQUE(_xlfn._xlws.FILTER($C$2:$C$1001,$B$2:$B$1001=B71)))=1,1,0)</f>
        <v>0</v>
      </c>
    </row>
    <row r="72" spans="1:11" x14ac:dyDescent="0.2">
      <c r="A72" t="s">
        <v>89</v>
      </c>
      <c r="B72" t="s">
        <v>21</v>
      </c>
      <c r="C72" t="s">
        <v>28</v>
      </c>
      <c r="D72" t="s">
        <v>1044</v>
      </c>
      <c r="E72">
        <v>27</v>
      </c>
      <c r="F72">
        <v>560</v>
      </c>
      <c r="G72">
        <v>452.64</v>
      </c>
      <c r="H72">
        <v>5</v>
      </c>
      <c r="I72">
        <v>3</v>
      </c>
      <c r="J72">
        <v>4</v>
      </c>
      <c r="K72" cm="1">
        <f t="array" ref="K72">IF(COUNTA(_xlfn.UNIQUE(_xlfn._xlws.FILTER($C$2:$C$1001,$B$2:$B$1001=B72)))=1,1,0)</f>
        <v>0</v>
      </c>
    </row>
    <row r="73" spans="1:11" x14ac:dyDescent="0.2">
      <c r="A73" t="s">
        <v>90</v>
      </c>
      <c r="B73" t="s">
        <v>17</v>
      </c>
      <c r="C73" t="s">
        <v>28</v>
      </c>
      <c r="D73" t="s">
        <v>1043</v>
      </c>
      <c r="E73">
        <v>59</v>
      </c>
      <c r="F73">
        <v>808</v>
      </c>
      <c r="G73">
        <v>407.51</v>
      </c>
      <c r="H73">
        <v>3</v>
      </c>
      <c r="I73">
        <v>5</v>
      </c>
      <c r="J73">
        <v>4</v>
      </c>
      <c r="K73" cm="1">
        <f t="array" ref="K73">IF(COUNTA(_xlfn.UNIQUE(_xlfn._xlws.FILTER($C$2:$C$1001,$B$2:$B$1001=B73)))=1,1,0)</f>
        <v>0</v>
      </c>
    </row>
    <row r="74" spans="1:11" x14ac:dyDescent="0.2">
      <c r="A74" t="s">
        <v>91</v>
      </c>
      <c r="B74" t="s">
        <v>21</v>
      </c>
      <c r="C74" t="s">
        <v>18</v>
      </c>
      <c r="D74" t="s">
        <v>1038</v>
      </c>
      <c r="E74">
        <v>83</v>
      </c>
      <c r="F74">
        <v>184</v>
      </c>
      <c r="G74">
        <v>313.36</v>
      </c>
      <c r="H74">
        <v>5</v>
      </c>
      <c r="I74">
        <v>4</v>
      </c>
      <c r="J74">
        <v>5</v>
      </c>
      <c r="K74" cm="1">
        <f t="array" ref="K74">IF(COUNTA(_xlfn.UNIQUE(_xlfn._xlws.FILTER($C$2:$C$1001,$B$2:$B$1001=B74)))=1,1,0)</f>
        <v>0</v>
      </c>
    </row>
    <row r="75" spans="1:11" x14ac:dyDescent="0.2">
      <c r="A75" t="s">
        <v>92</v>
      </c>
      <c r="B75" t="s">
        <v>17</v>
      </c>
      <c r="C75" t="s">
        <v>28</v>
      </c>
      <c r="D75" t="s">
        <v>1043</v>
      </c>
      <c r="E75">
        <v>40</v>
      </c>
      <c r="F75">
        <v>899</v>
      </c>
      <c r="G75">
        <v>401.51</v>
      </c>
      <c r="H75">
        <v>5</v>
      </c>
      <c r="I75">
        <v>4</v>
      </c>
      <c r="J75">
        <v>5</v>
      </c>
      <c r="K75" cm="1">
        <f t="array" ref="K75">IF(COUNTA(_xlfn.UNIQUE(_xlfn._xlws.FILTER($C$2:$C$1001,$B$2:$B$1001=B75)))=1,1,0)</f>
        <v>0</v>
      </c>
    </row>
    <row r="76" spans="1:11" x14ac:dyDescent="0.2">
      <c r="A76" t="s">
        <v>93</v>
      </c>
      <c r="B76" t="s">
        <v>23</v>
      </c>
      <c r="C76" t="s">
        <v>18</v>
      </c>
      <c r="D76" t="s">
        <v>1039</v>
      </c>
      <c r="E76">
        <v>63</v>
      </c>
      <c r="F76">
        <v>367</v>
      </c>
      <c r="G76">
        <v>356.05</v>
      </c>
      <c r="H76">
        <v>5</v>
      </c>
      <c r="I76">
        <v>4</v>
      </c>
      <c r="J76">
        <v>4</v>
      </c>
      <c r="K76" cm="1">
        <f t="array" ref="K76">IF(COUNTA(_xlfn.UNIQUE(_xlfn._xlws.FILTER($C$2:$C$1001,$B$2:$B$1001=B76)))=1,1,0)</f>
        <v>0</v>
      </c>
    </row>
    <row r="77" spans="1:11" x14ac:dyDescent="0.2">
      <c r="A77" t="s">
        <v>94</v>
      </c>
      <c r="B77" t="s">
        <v>21</v>
      </c>
      <c r="C77" t="s">
        <v>13</v>
      </c>
      <c r="D77" t="s">
        <v>1040</v>
      </c>
      <c r="E77">
        <v>44</v>
      </c>
      <c r="F77">
        <v>306</v>
      </c>
      <c r="G77">
        <v>208.63</v>
      </c>
      <c r="H77">
        <v>5</v>
      </c>
      <c r="I77">
        <v>5</v>
      </c>
      <c r="J77">
        <v>4</v>
      </c>
      <c r="K77" cm="1">
        <f t="array" ref="K77">IF(COUNTA(_xlfn.UNIQUE(_xlfn._xlws.FILTER($C$2:$C$1001,$B$2:$B$1001=B77)))=1,1,0)</f>
        <v>0</v>
      </c>
    </row>
    <row r="78" spans="1:11" x14ac:dyDescent="0.2">
      <c r="A78" t="s">
        <v>95</v>
      </c>
      <c r="B78" t="s">
        <v>17</v>
      </c>
      <c r="C78" t="s">
        <v>28</v>
      </c>
      <c r="D78" t="s">
        <v>1043</v>
      </c>
      <c r="E78">
        <v>58</v>
      </c>
      <c r="F78">
        <v>197</v>
      </c>
      <c r="G78">
        <v>305.18</v>
      </c>
      <c r="H78">
        <v>5</v>
      </c>
      <c r="I78">
        <v>5</v>
      </c>
      <c r="J78">
        <v>5</v>
      </c>
      <c r="K78" cm="1">
        <f t="array" ref="K78">IF(COUNTA(_xlfn.UNIQUE(_xlfn._xlws.FILTER($C$2:$C$1001,$B$2:$B$1001=B78)))=1,1,0)</f>
        <v>0</v>
      </c>
    </row>
    <row r="79" spans="1:11" x14ac:dyDescent="0.2">
      <c r="A79" t="s">
        <v>96</v>
      </c>
      <c r="B79" t="s">
        <v>21</v>
      </c>
      <c r="C79" t="s">
        <v>18</v>
      </c>
      <c r="D79" t="s">
        <v>1038</v>
      </c>
      <c r="E79">
        <v>10</v>
      </c>
      <c r="F79">
        <v>641</v>
      </c>
      <c r="G79">
        <v>435.1</v>
      </c>
      <c r="H79">
        <v>4</v>
      </c>
      <c r="I79">
        <v>3</v>
      </c>
      <c r="J79">
        <v>4</v>
      </c>
      <c r="K79" cm="1">
        <f t="array" ref="K79">IF(COUNTA(_xlfn.UNIQUE(_xlfn._xlws.FILTER($C$2:$C$1001,$B$2:$B$1001=B79)))=1,1,0)</f>
        <v>0</v>
      </c>
    </row>
    <row r="80" spans="1:11" x14ac:dyDescent="0.2">
      <c r="A80" t="s">
        <v>97</v>
      </c>
      <c r="B80" t="s">
        <v>23</v>
      </c>
      <c r="C80" t="s">
        <v>13</v>
      </c>
      <c r="D80" t="s">
        <v>1041</v>
      </c>
      <c r="E80">
        <v>72</v>
      </c>
      <c r="F80">
        <v>607</v>
      </c>
      <c r="G80">
        <v>347.63</v>
      </c>
      <c r="H80">
        <v>5</v>
      </c>
      <c r="I80">
        <v>3</v>
      </c>
      <c r="J80">
        <v>5</v>
      </c>
      <c r="K80" cm="1">
        <f t="array" ref="K80">IF(COUNTA(_xlfn.UNIQUE(_xlfn._xlws.FILTER($C$2:$C$1001,$B$2:$B$1001=B80)))=1,1,0)</f>
        <v>0</v>
      </c>
    </row>
    <row r="81" spans="1:11" x14ac:dyDescent="0.2">
      <c r="A81" t="s">
        <v>98</v>
      </c>
      <c r="B81" t="s">
        <v>21</v>
      </c>
      <c r="C81" t="s">
        <v>28</v>
      </c>
      <c r="D81" t="s">
        <v>1044</v>
      </c>
      <c r="E81">
        <v>22</v>
      </c>
      <c r="F81">
        <v>982</v>
      </c>
      <c r="G81">
        <v>373.89</v>
      </c>
      <c r="H81">
        <v>5</v>
      </c>
      <c r="I81">
        <v>5</v>
      </c>
      <c r="J81">
        <v>4</v>
      </c>
      <c r="K81" cm="1">
        <f t="array" ref="K81">IF(COUNTA(_xlfn.UNIQUE(_xlfn._xlws.FILTER($C$2:$C$1001,$B$2:$B$1001=B81)))=1,1,0)</f>
        <v>0</v>
      </c>
    </row>
    <row r="82" spans="1:11" x14ac:dyDescent="0.2">
      <c r="A82" t="s">
        <v>99</v>
      </c>
      <c r="B82" t="s">
        <v>17</v>
      </c>
      <c r="C82" t="s">
        <v>28</v>
      </c>
      <c r="D82" t="s">
        <v>1043</v>
      </c>
      <c r="E82">
        <v>67</v>
      </c>
      <c r="F82">
        <v>380</v>
      </c>
      <c r="G82">
        <v>408.95</v>
      </c>
      <c r="H82">
        <v>4</v>
      </c>
      <c r="I82">
        <v>5</v>
      </c>
      <c r="J82">
        <v>4</v>
      </c>
      <c r="K82" cm="1">
        <f t="array" ref="K82">IF(COUNTA(_xlfn.UNIQUE(_xlfn._xlws.FILTER($C$2:$C$1001,$B$2:$B$1001=B82)))=1,1,0)</f>
        <v>0</v>
      </c>
    </row>
    <row r="83" spans="1:11" x14ac:dyDescent="0.2">
      <c r="A83" t="s">
        <v>100</v>
      </c>
      <c r="B83" t="s">
        <v>23</v>
      </c>
      <c r="C83" t="s">
        <v>13</v>
      </c>
      <c r="D83" t="s">
        <v>1041</v>
      </c>
      <c r="E83">
        <v>7</v>
      </c>
      <c r="F83">
        <v>565</v>
      </c>
      <c r="G83">
        <v>446.54</v>
      </c>
      <c r="H83">
        <v>3</v>
      </c>
      <c r="I83">
        <v>4</v>
      </c>
      <c r="J83">
        <v>5</v>
      </c>
      <c r="K83" cm="1">
        <f t="array" ref="K83">IF(COUNTA(_xlfn.UNIQUE(_xlfn._xlws.FILTER($C$2:$C$1001,$B$2:$B$1001=B83)))=1,1,0)</f>
        <v>0</v>
      </c>
    </row>
    <row r="84" spans="1:11" x14ac:dyDescent="0.2">
      <c r="A84" t="s">
        <v>101</v>
      </c>
      <c r="B84" t="s">
        <v>21</v>
      </c>
      <c r="C84" t="s">
        <v>18</v>
      </c>
      <c r="D84" t="s">
        <v>1038</v>
      </c>
      <c r="E84">
        <v>32</v>
      </c>
      <c r="F84">
        <v>645</v>
      </c>
      <c r="G84">
        <v>261.89999999999998</v>
      </c>
      <c r="H84">
        <v>5</v>
      </c>
      <c r="I84">
        <v>4</v>
      </c>
      <c r="J84">
        <v>4</v>
      </c>
      <c r="K84" cm="1">
        <f t="array" ref="K84">IF(COUNTA(_xlfn.UNIQUE(_xlfn._xlws.FILTER($C$2:$C$1001,$B$2:$B$1001=B84)))=1,1,0)</f>
        <v>0</v>
      </c>
    </row>
    <row r="85" spans="1:11" x14ac:dyDescent="0.2">
      <c r="A85" t="s">
        <v>102</v>
      </c>
      <c r="B85" t="s">
        <v>21</v>
      </c>
      <c r="C85" t="s">
        <v>18</v>
      </c>
      <c r="D85" t="s">
        <v>1038</v>
      </c>
      <c r="E85">
        <v>42</v>
      </c>
      <c r="F85">
        <v>155</v>
      </c>
      <c r="G85">
        <v>406.34</v>
      </c>
      <c r="H85">
        <v>3</v>
      </c>
      <c r="I85">
        <v>4</v>
      </c>
      <c r="J85">
        <v>5</v>
      </c>
      <c r="K85" cm="1">
        <f t="array" ref="K85">IF(COUNTA(_xlfn.UNIQUE(_xlfn._xlws.FILTER($C$2:$C$1001,$B$2:$B$1001=B85)))=1,1,0)</f>
        <v>0</v>
      </c>
    </row>
    <row r="86" spans="1:11" x14ac:dyDescent="0.2">
      <c r="A86" t="s">
        <v>103</v>
      </c>
      <c r="B86" t="s">
        <v>21</v>
      </c>
      <c r="C86" t="s">
        <v>13</v>
      </c>
      <c r="D86" t="s">
        <v>1040</v>
      </c>
      <c r="E86">
        <v>34</v>
      </c>
      <c r="F86">
        <v>791</v>
      </c>
      <c r="G86">
        <v>379.18</v>
      </c>
      <c r="H86">
        <v>5</v>
      </c>
      <c r="I86">
        <v>4</v>
      </c>
      <c r="J86">
        <v>4</v>
      </c>
      <c r="K86" cm="1">
        <f t="array" ref="K86">IF(COUNTA(_xlfn.UNIQUE(_xlfn._xlws.FILTER($C$2:$C$1001,$B$2:$B$1001=B86)))=1,1,0)</f>
        <v>0</v>
      </c>
    </row>
    <row r="87" spans="1:11" x14ac:dyDescent="0.2">
      <c r="A87" t="s">
        <v>104</v>
      </c>
      <c r="B87" t="s">
        <v>12</v>
      </c>
      <c r="C87" t="s">
        <v>28</v>
      </c>
      <c r="D87" t="s">
        <v>1042</v>
      </c>
      <c r="E87">
        <v>29</v>
      </c>
      <c r="F87">
        <v>765</v>
      </c>
      <c r="G87">
        <v>416.15</v>
      </c>
      <c r="H87">
        <v>5</v>
      </c>
      <c r="I87">
        <v>5</v>
      </c>
      <c r="J87">
        <v>5</v>
      </c>
      <c r="K87" cm="1">
        <f t="array" ref="K87">IF(COUNTA(_xlfn.UNIQUE(_xlfn._xlws.FILTER($C$2:$C$1001,$B$2:$B$1001=B87)))=1,1,0)</f>
        <v>0</v>
      </c>
    </row>
    <row r="88" spans="1:11" x14ac:dyDescent="0.2">
      <c r="A88" t="s">
        <v>105</v>
      </c>
      <c r="B88" t="s">
        <v>23</v>
      </c>
      <c r="C88" t="s">
        <v>28</v>
      </c>
      <c r="D88" t="s">
        <v>1046</v>
      </c>
      <c r="E88">
        <v>34</v>
      </c>
      <c r="F88">
        <v>373</v>
      </c>
      <c r="G88">
        <v>209.14</v>
      </c>
      <c r="H88">
        <v>5</v>
      </c>
      <c r="I88">
        <v>3</v>
      </c>
      <c r="J88">
        <v>5</v>
      </c>
      <c r="K88" cm="1">
        <f t="array" ref="K88">IF(COUNTA(_xlfn.UNIQUE(_xlfn._xlws.FILTER($C$2:$C$1001,$B$2:$B$1001=B88)))=1,1,0)</f>
        <v>0</v>
      </c>
    </row>
    <row r="89" spans="1:11" x14ac:dyDescent="0.2">
      <c r="A89" t="s">
        <v>106</v>
      </c>
      <c r="B89" t="s">
        <v>23</v>
      </c>
      <c r="C89" t="s">
        <v>18</v>
      </c>
      <c r="D89" t="s">
        <v>1039</v>
      </c>
      <c r="E89">
        <v>31</v>
      </c>
      <c r="F89">
        <v>185</v>
      </c>
      <c r="G89">
        <v>452.21</v>
      </c>
      <c r="H89">
        <v>3</v>
      </c>
      <c r="I89">
        <v>3</v>
      </c>
      <c r="J89">
        <v>5</v>
      </c>
      <c r="K89" cm="1">
        <f t="array" ref="K89">IF(COUNTA(_xlfn.UNIQUE(_xlfn._xlws.FILTER($C$2:$C$1001,$B$2:$B$1001=B89)))=1,1,0)</f>
        <v>0</v>
      </c>
    </row>
    <row r="90" spans="1:11" x14ac:dyDescent="0.2">
      <c r="A90" t="s">
        <v>107</v>
      </c>
      <c r="B90" t="s">
        <v>17</v>
      </c>
      <c r="C90" t="s">
        <v>13</v>
      </c>
      <c r="D90" t="s">
        <v>1045</v>
      </c>
      <c r="E90">
        <v>14</v>
      </c>
      <c r="F90">
        <v>245</v>
      </c>
      <c r="G90">
        <v>394.65</v>
      </c>
      <c r="H90">
        <v>5</v>
      </c>
      <c r="I90">
        <v>5</v>
      </c>
      <c r="J90">
        <v>4</v>
      </c>
      <c r="K90" cm="1">
        <f t="array" ref="K90">IF(COUNTA(_xlfn.UNIQUE(_xlfn._xlws.FILTER($C$2:$C$1001,$B$2:$B$1001=B90)))=1,1,0)</f>
        <v>0</v>
      </c>
    </row>
    <row r="91" spans="1:11" x14ac:dyDescent="0.2">
      <c r="A91" t="s">
        <v>108</v>
      </c>
      <c r="B91" t="s">
        <v>17</v>
      </c>
      <c r="C91" t="s">
        <v>13</v>
      </c>
      <c r="D91" t="s">
        <v>1045</v>
      </c>
      <c r="E91">
        <v>62</v>
      </c>
      <c r="F91">
        <v>524</v>
      </c>
      <c r="G91">
        <v>238.27</v>
      </c>
      <c r="H91">
        <v>4</v>
      </c>
      <c r="I91">
        <v>5</v>
      </c>
      <c r="J91">
        <v>4</v>
      </c>
      <c r="K91" cm="1">
        <f t="array" ref="K91">IF(COUNTA(_xlfn.UNIQUE(_xlfn._xlws.FILTER($C$2:$C$1001,$B$2:$B$1001=B91)))=1,1,0)</f>
        <v>0</v>
      </c>
    </row>
    <row r="92" spans="1:11" x14ac:dyDescent="0.2">
      <c r="A92" t="s">
        <v>109</v>
      </c>
      <c r="B92" t="s">
        <v>12</v>
      </c>
      <c r="C92" t="s">
        <v>13</v>
      </c>
      <c r="D92" t="s">
        <v>1036</v>
      </c>
      <c r="E92">
        <v>10</v>
      </c>
      <c r="F92">
        <v>388</v>
      </c>
      <c r="G92">
        <v>381.73</v>
      </c>
      <c r="H92">
        <v>4</v>
      </c>
      <c r="I92">
        <v>5</v>
      </c>
      <c r="J92">
        <v>4</v>
      </c>
      <c r="K92" cm="1">
        <f t="array" ref="K92">IF(COUNTA(_xlfn.UNIQUE(_xlfn._xlws.FILTER($C$2:$C$1001,$B$2:$B$1001=B92)))=1,1,0)</f>
        <v>0</v>
      </c>
    </row>
    <row r="93" spans="1:11" x14ac:dyDescent="0.2">
      <c r="A93" t="s">
        <v>110</v>
      </c>
      <c r="B93" t="s">
        <v>23</v>
      </c>
      <c r="C93" t="s">
        <v>28</v>
      </c>
      <c r="D93" t="s">
        <v>1046</v>
      </c>
      <c r="E93">
        <v>37</v>
      </c>
      <c r="F93">
        <v>706</v>
      </c>
      <c r="G93">
        <v>285.52999999999997</v>
      </c>
      <c r="H93">
        <v>5</v>
      </c>
      <c r="I93">
        <v>5</v>
      </c>
      <c r="J93">
        <v>5</v>
      </c>
      <c r="K93" cm="1">
        <f t="array" ref="K93">IF(COUNTA(_xlfn.UNIQUE(_xlfn._xlws.FILTER($C$2:$C$1001,$B$2:$B$1001=B93)))=1,1,0)</f>
        <v>0</v>
      </c>
    </row>
    <row r="94" spans="1:11" x14ac:dyDescent="0.2">
      <c r="A94" t="s">
        <v>111</v>
      </c>
      <c r="B94" t="s">
        <v>17</v>
      </c>
      <c r="C94" t="s">
        <v>28</v>
      </c>
      <c r="D94" t="s">
        <v>1043</v>
      </c>
      <c r="E94">
        <v>57</v>
      </c>
      <c r="F94">
        <v>105</v>
      </c>
      <c r="G94">
        <v>499.18</v>
      </c>
      <c r="H94">
        <v>5</v>
      </c>
      <c r="I94">
        <v>5</v>
      </c>
      <c r="J94">
        <v>5</v>
      </c>
      <c r="K94" cm="1">
        <f t="array" ref="K94">IF(COUNTA(_xlfn.UNIQUE(_xlfn._xlws.FILTER($C$2:$C$1001,$B$2:$B$1001=B94)))=1,1,0)</f>
        <v>0</v>
      </c>
    </row>
    <row r="95" spans="1:11" x14ac:dyDescent="0.2">
      <c r="A95" t="s">
        <v>112</v>
      </c>
      <c r="B95" t="s">
        <v>23</v>
      </c>
      <c r="C95" t="s">
        <v>18</v>
      </c>
      <c r="D95" t="s">
        <v>1039</v>
      </c>
      <c r="E95">
        <v>74</v>
      </c>
      <c r="F95">
        <v>491</v>
      </c>
      <c r="G95">
        <v>367.03</v>
      </c>
      <c r="H95">
        <v>4</v>
      </c>
      <c r="I95">
        <v>5</v>
      </c>
      <c r="J95">
        <v>5</v>
      </c>
      <c r="K95" cm="1">
        <f t="array" ref="K95">IF(COUNTA(_xlfn.UNIQUE(_xlfn._xlws.FILTER($C$2:$C$1001,$B$2:$B$1001=B95)))=1,1,0)</f>
        <v>0</v>
      </c>
    </row>
    <row r="96" spans="1:11" x14ac:dyDescent="0.2">
      <c r="A96" t="s">
        <v>113</v>
      </c>
      <c r="B96" t="s">
        <v>12</v>
      </c>
      <c r="C96" t="s">
        <v>13</v>
      </c>
      <c r="D96" t="s">
        <v>1036</v>
      </c>
      <c r="E96">
        <v>17</v>
      </c>
      <c r="F96">
        <v>239</v>
      </c>
      <c r="G96">
        <v>420.87</v>
      </c>
      <c r="H96">
        <v>5</v>
      </c>
      <c r="I96">
        <v>3</v>
      </c>
      <c r="J96">
        <v>4</v>
      </c>
      <c r="K96" cm="1">
        <f t="array" ref="K96">IF(COUNTA(_xlfn.UNIQUE(_xlfn._xlws.FILTER($C$2:$C$1001,$B$2:$B$1001=B96)))=1,1,0)</f>
        <v>0</v>
      </c>
    </row>
    <row r="97" spans="1:11" x14ac:dyDescent="0.2">
      <c r="A97" t="s">
        <v>114</v>
      </c>
      <c r="B97" t="s">
        <v>12</v>
      </c>
      <c r="C97" t="s">
        <v>13</v>
      </c>
      <c r="D97" t="s">
        <v>1036</v>
      </c>
      <c r="E97">
        <v>16</v>
      </c>
      <c r="F97">
        <v>772</v>
      </c>
      <c r="G97">
        <v>359.78</v>
      </c>
      <c r="H97">
        <v>4</v>
      </c>
      <c r="I97">
        <v>5</v>
      </c>
      <c r="J97">
        <v>5</v>
      </c>
      <c r="K97" cm="1">
        <f t="array" ref="K97">IF(COUNTA(_xlfn.UNIQUE(_xlfn._xlws.FILTER($C$2:$C$1001,$B$2:$B$1001=B97)))=1,1,0)</f>
        <v>0</v>
      </c>
    </row>
    <row r="98" spans="1:11" x14ac:dyDescent="0.2">
      <c r="A98" t="s">
        <v>115</v>
      </c>
      <c r="B98" t="s">
        <v>17</v>
      </c>
      <c r="C98" t="s">
        <v>18</v>
      </c>
      <c r="D98" t="s">
        <v>1037</v>
      </c>
      <c r="E98">
        <v>81</v>
      </c>
      <c r="F98">
        <v>695</v>
      </c>
      <c r="G98">
        <v>405.37</v>
      </c>
      <c r="H98">
        <v>4</v>
      </c>
      <c r="I98">
        <v>3</v>
      </c>
      <c r="J98">
        <v>4</v>
      </c>
      <c r="K98" cm="1">
        <f t="array" ref="K98">IF(COUNTA(_xlfn.UNIQUE(_xlfn._xlws.FILTER($C$2:$C$1001,$B$2:$B$1001=B98)))=1,1,0)</f>
        <v>0</v>
      </c>
    </row>
    <row r="99" spans="1:11" x14ac:dyDescent="0.2">
      <c r="A99" t="s">
        <v>116</v>
      </c>
      <c r="B99" t="s">
        <v>12</v>
      </c>
      <c r="C99" t="s">
        <v>13</v>
      </c>
      <c r="D99" t="s">
        <v>1036</v>
      </c>
      <c r="E99">
        <v>81</v>
      </c>
      <c r="F99">
        <v>705</v>
      </c>
      <c r="G99">
        <v>323.55</v>
      </c>
      <c r="H99">
        <v>5</v>
      </c>
      <c r="I99">
        <v>5</v>
      </c>
      <c r="J99">
        <v>4</v>
      </c>
      <c r="K99" cm="1">
        <f t="array" ref="K99">IF(COUNTA(_xlfn.UNIQUE(_xlfn._xlws.FILTER($C$2:$C$1001,$B$2:$B$1001=B99)))=1,1,0)</f>
        <v>0</v>
      </c>
    </row>
    <row r="100" spans="1:11" x14ac:dyDescent="0.2">
      <c r="A100" t="s">
        <v>117</v>
      </c>
      <c r="B100" t="s">
        <v>21</v>
      </c>
      <c r="C100" t="s">
        <v>18</v>
      </c>
      <c r="D100" t="s">
        <v>1038</v>
      </c>
      <c r="E100">
        <v>20</v>
      </c>
      <c r="F100">
        <v>612</v>
      </c>
      <c r="G100">
        <v>313.77</v>
      </c>
      <c r="H100">
        <v>5</v>
      </c>
      <c r="I100">
        <v>4</v>
      </c>
      <c r="J100">
        <v>5</v>
      </c>
      <c r="K100" cm="1">
        <f t="array" ref="K100">IF(COUNTA(_xlfn.UNIQUE(_xlfn._xlws.FILTER($C$2:$C$1001,$B$2:$B$1001=B100)))=1,1,0)</f>
        <v>0</v>
      </c>
    </row>
    <row r="101" spans="1:11" x14ac:dyDescent="0.2">
      <c r="A101" t="s">
        <v>118</v>
      </c>
      <c r="B101" t="s">
        <v>17</v>
      </c>
      <c r="C101" t="s">
        <v>13</v>
      </c>
      <c r="D101" t="s">
        <v>1045</v>
      </c>
      <c r="E101">
        <v>48</v>
      </c>
      <c r="F101">
        <v>104</v>
      </c>
      <c r="G101">
        <v>249.28</v>
      </c>
      <c r="H101">
        <v>5</v>
      </c>
      <c r="I101">
        <v>3</v>
      </c>
      <c r="J101">
        <v>4</v>
      </c>
      <c r="K101" cm="1">
        <f t="array" ref="K101">IF(COUNTA(_xlfn.UNIQUE(_xlfn._xlws.FILTER($C$2:$C$1001,$B$2:$B$1001=B101)))=1,1,0)</f>
        <v>0</v>
      </c>
    </row>
    <row r="102" spans="1:11" x14ac:dyDescent="0.2">
      <c r="A102" t="s">
        <v>1034</v>
      </c>
      <c r="B102" t="s">
        <v>782</v>
      </c>
      <c r="C102" t="s">
        <v>18</v>
      </c>
      <c r="D102" t="s">
        <v>1085</v>
      </c>
      <c r="E102">
        <v>76</v>
      </c>
      <c r="F102">
        <v>9018</v>
      </c>
      <c r="G102">
        <v>29.98</v>
      </c>
      <c r="H102">
        <v>1</v>
      </c>
      <c r="I102">
        <v>3</v>
      </c>
      <c r="J102">
        <v>1</v>
      </c>
      <c r="K102" cm="1">
        <f t="array" ref="K102">IF(COUNTA(_xlfn.UNIQUE(_xlfn._xlws.FILTER($C$2:$C$1001,$B$2:$B$1001=B102)))=1,1,0)</f>
        <v>1</v>
      </c>
    </row>
    <row r="103" spans="1:11" x14ac:dyDescent="0.2">
      <c r="A103" t="s">
        <v>119</v>
      </c>
      <c r="B103" t="s">
        <v>21</v>
      </c>
      <c r="C103" t="s">
        <v>18</v>
      </c>
      <c r="D103" t="s">
        <v>1038</v>
      </c>
      <c r="E103">
        <v>29</v>
      </c>
      <c r="F103">
        <v>715</v>
      </c>
      <c r="G103">
        <v>335.58</v>
      </c>
      <c r="H103">
        <v>5</v>
      </c>
      <c r="I103">
        <v>4</v>
      </c>
      <c r="J103">
        <v>5</v>
      </c>
      <c r="K103" cm="1">
        <f t="array" ref="K103">IF(COUNTA(_xlfn.UNIQUE(_xlfn._xlws.FILTER($C$2:$C$1001,$B$2:$B$1001=B103)))=1,1,0)</f>
        <v>0</v>
      </c>
    </row>
    <row r="104" spans="1:11" x14ac:dyDescent="0.2">
      <c r="A104" t="s">
        <v>120</v>
      </c>
      <c r="B104" t="s">
        <v>12</v>
      </c>
      <c r="C104" t="s">
        <v>13</v>
      </c>
      <c r="D104" t="s">
        <v>1036</v>
      </c>
      <c r="E104">
        <v>45</v>
      </c>
      <c r="F104">
        <v>324</v>
      </c>
      <c r="G104">
        <v>269.66000000000003</v>
      </c>
      <c r="H104">
        <v>3</v>
      </c>
      <c r="I104">
        <v>5</v>
      </c>
      <c r="J104">
        <v>4</v>
      </c>
      <c r="K104" cm="1">
        <f t="array" ref="K104">IF(COUNTA(_xlfn.UNIQUE(_xlfn._xlws.FILTER($C$2:$C$1001,$B$2:$B$1001=B104)))=1,1,0)</f>
        <v>0</v>
      </c>
    </row>
    <row r="105" spans="1:11" x14ac:dyDescent="0.2">
      <c r="A105" t="s">
        <v>121</v>
      </c>
      <c r="B105" t="s">
        <v>12</v>
      </c>
      <c r="C105" t="s">
        <v>28</v>
      </c>
      <c r="D105" t="s">
        <v>1042</v>
      </c>
      <c r="E105">
        <v>39</v>
      </c>
      <c r="F105">
        <v>278</v>
      </c>
      <c r="G105">
        <v>299.83999999999997</v>
      </c>
      <c r="H105">
        <v>5</v>
      </c>
      <c r="I105">
        <v>4</v>
      </c>
      <c r="J105">
        <v>5</v>
      </c>
      <c r="K105" cm="1">
        <f t="array" ref="K105">IF(COUNTA(_xlfn.UNIQUE(_xlfn._xlws.FILTER($C$2:$C$1001,$B$2:$B$1001=B105)))=1,1,0)</f>
        <v>0</v>
      </c>
    </row>
    <row r="106" spans="1:11" x14ac:dyDescent="0.2">
      <c r="A106" t="s">
        <v>122</v>
      </c>
      <c r="B106" t="s">
        <v>17</v>
      </c>
      <c r="C106" t="s">
        <v>18</v>
      </c>
      <c r="D106" t="s">
        <v>1037</v>
      </c>
      <c r="E106">
        <v>61</v>
      </c>
      <c r="F106">
        <v>256</v>
      </c>
      <c r="G106">
        <v>371.95</v>
      </c>
      <c r="H106">
        <v>4</v>
      </c>
      <c r="I106">
        <v>5</v>
      </c>
      <c r="J106">
        <v>5</v>
      </c>
      <c r="K106" cm="1">
        <f t="array" ref="K106">IF(COUNTA(_xlfn.UNIQUE(_xlfn._xlws.FILTER($C$2:$C$1001,$B$2:$B$1001=B106)))=1,1,0)</f>
        <v>0</v>
      </c>
    </row>
    <row r="107" spans="1:11" x14ac:dyDescent="0.2">
      <c r="A107" t="s">
        <v>123</v>
      </c>
      <c r="B107" t="s">
        <v>21</v>
      </c>
      <c r="C107" t="s">
        <v>18</v>
      </c>
      <c r="D107" t="s">
        <v>1038</v>
      </c>
      <c r="E107">
        <v>19</v>
      </c>
      <c r="F107">
        <v>621</v>
      </c>
      <c r="G107">
        <v>370.97</v>
      </c>
      <c r="H107">
        <v>5</v>
      </c>
      <c r="I107">
        <v>5</v>
      </c>
      <c r="J107">
        <v>4</v>
      </c>
      <c r="K107" cm="1">
        <f t="array" ref="K107">IF(COUNTA(_xlfn.UNIQUE(_xlfn._xlws.FILTER($C$2:$C$1001,$B$2:$B$1001=B107)))=1,1,0)</f>
        <v>0</v>
      </c>
    </row>
    <row r="108" spans="1:11" x14ac:dyDescent="0.2">
      <c r="A108" t="s">
        <v>124</v>
      </c>
      <c r="B108" t="s">
        <v>12</v>
      </c>
      <c r="C108" t="s">
        <v>18</v>
      </c>
      <c r="D108" t="s">
        <v>1047</v>
      </c>
      <c r="E108">
        <v>74</v>
      </c>
      <c r="F108">
        <v>795</v>
      </c>
      <c r="G108">
        <v>337.1</v>
      </c>
      <c r="H108">
        <v>3</v>
      </c>
      <c r="I108">
        <v>5</v>
      </c>
      <c r="J108">
        <v>4</v>
      </c>
      <c r="K108" cm="1">
        <f t="array" ref="K108">IF(COUNTA(_xlfn.UNIQUE(_xlfn._xlws.FILTER($C$2:$C$1001,$B$2:$B$1001=B108)))=1,1,0)</f>
        <v>0</v>
      </c>
    </row>
    <row r="109" spans="1:11" x14ac:dyDescent="0.2">
      <c r="A109" t="s">
        <v>125</v>
      </c>
      <c r="B109" t="s">
        <v>17</v>
      </c>
      <c r="C109" t="s">
        <v>13</v>
      </c>
      <c r="D109" t="s">
        <v>1045</v>
      </c>
      <c r="E109">
        <v>75</v>
      </c>
      <c r="F109">
        <v>726</v>
      </c>
      <c r="G109">
        <v>203.66</v>
      </c>
      <c r="H109">
        <v>5</v>
      </c>
      <c r="I109">
        <v>5</v>
      </c>
      <c r="J109">
        <v>4</v>
      </c>
      <c r="K109" cm="1">
        <f t="array" ref="K109">IF(COUNTA(_xlfn.UNIQUE(_xlfn._xlws.FILTER($C$2:$C$1001,$B$2:$B$1001=B109)))=1,1,0)</f>
        <v>0</v>
      </c>
    </row>
    <row r="110" spans="1:11" x14ac:dyDescent="0.2">
      <c r="A110" t="s">
        <v>126</v>
      </c>
      <c r="B110" t="s">
        <v>17</v>
      </c>
      <c r="C110" t="s">
        <v>28</v>
      </c>
      <c r="D110" t="s">
        <v>1043</v>
      </c>
      <c r="E110">
        <v>18</v>
      </c>
      <c r="F110">
        <v>649</v>
      </c>
      <c r="G110">
        <v>472.54</v>
      </c>
      <c r="H110">
        <v>4</v>
      </c>
      <c r="I110">
        <v>5</v>
      </c>
      <c r="J110">
        <v>5</v>
      </c>
      <c r="K110" cm="1">
        <f t="array" ref="K110">IF(COUNTA(_xlfn.UNIQUE(_xlfn._xlws.FILTER($C$2:$C$1001,$B$2:$B$1001=B110)))=1,1,0)</f>
        <v>0</v>
      </c>
    </row>
    <row r="111" spans="1:11" x14ac:dyDescent="0.2">
      <c r="A111" t="s">
        <v>127</v>
      </c>
      <c r="B111" t="s">
        <v>23</v>
      </c>
      <c r="C111" t="s">
        <v>18</v>
      </c>
      <c r="D111" t="s">
        <v>1039</v>
      </c>
      <c r="E111">
        <v>37</v>
      </c>
      <c r="F111">
        <v>722</v>
      </c>
      <c r="G111">
        <v>351.77</v>
      </c>
      <c r="H111">
        <v>3</v>
      </c>
      <c r="I111">
        <v>5</v>
      </c>
      <c r="J111">
        <v>5</v>
      </c>
      <c r="K111" cm="1">
        <f t="array" ref="K111">IF(COUNTA(_xlfn.UNIQUE(_xlfn._xlws.FILTER($C$2:$C$1001,$B$2:$B$1001=B111)))=1,1,0)</f>
        <v>0</v>
      </c>
    </row>
    <row r="112" spans="1:11" x14ac:dyDescent="0.2">
      <c r="A112" t="s">
        <v>128</v>
      </c>
      <c r="B112" t="s">
        <v>23</v>
      </c>
      <c r="C112" t="s">
        <v>28</v>
      </c>
      <c r="D112" t="s">
        <v>1046</v>
      </c>
      <c r="E112">
        <v>52</v>
      </c>
      <c r="F112">
        <v>561</v>
      </c>
      <c r="G112">
        <v>223.2</v>
      </c>
      <c r="H112">
        <v>5</v>
      </c>
      <c r="I112">
        <v>4</v>
      </c>
      <c r="J112">
        <v>5</v>
      </c>
      <c r="K112" cm="1">
        <f t="array" ref="K112">IF(COUNTA(_xlfn.UNIQUE(_xlfn._xlws.FILTER($C$2:$C$1001,$B$2:$B$1001=B112)))=1,1,0)</f>
        <v>0</v>
      </c>
    </row>
    <row r="113" spans="1:11" x14ac:dyDescent="0.2">
      <c r="A113" t="s">
        <v>129</v>
      </c>
      <c r="B113" t="s">
        <v>21</v>
      </c>
      <c r="C113" t="s">
        <v>28</v>
      </c>
      <c r="D113" t="s">
        <v>1044</v>
      </c>
      <c r="E113">
        <v>46</v>
      </c>
      <c r="F113">
        <v>281</v>
      </c>
      <c r="G113">
        <v>451.67</v>
      </c>
      <c r="H113">
        <v>4</v>
      </c>
      <c r="I113">
        <v>5</v>
      </c>
      <c r="J113">
        <v>4</v>
      </c>
      <c r="K113" cm="1">
        <f t="array" ref="K113">IF(COUNTA(_xlfn.UNIQUE(_xlfn._xlws.FILTER($C$2:$C$1001,$B$2:$B$1001=B113)))=1,1,0)</f>
        <v>0</v>
      </c>
    </row>
    <row r="114" spans="1:11" x14ac:dyDescent="0.2">
      <c r="A114" t="s">
        <v>130</v>
      </c>
      <c r="B114" t="s">
        <v>12</v>
      </c>
      <c r="C114" t="s">
        <v>18</v>
      </c>
      <c r="D114" t="s">
        <v>1047</v>
      </c>
      <c r="E114">
        <v>41</v>
      </c>
      <c r="F114">
        <v>236</v>
      </c>
      <c r="G114">
        <v>216.43</v>
      </c>
      <c r="H114">
        <v>4</v>
      </c>
      <c r="I114">
        <v>3</v>
      </c>
      <c r="J114">
        <v>5</v>
      </c>
      <c r="K114" cm="1">
        <f t="array" ref="K114">IF(COUNTA(_xlfn.UNIQUE(_xlfn._xlws.FILTER($C$2:$C$1001,$B$2:$B$1001=B114)))=1,1,0)</f>
        <v>0</v>
      </c>
    </row>
    <row r="115" spans="1:11" x14ac:dyDescent="0.2">
      <c r="A115" t="s">
        <v>131</v>
      </c>
      <c r="B115" t="s">
        <v>12</v>
      </c>
      <c r="C115" t="s">
        <v>28</v>
      </c>
      <c r="D115" t="s">
        <v>1042</v>
      </c>
      <c r="E115">
        <v>23</v>
      </c>
      <c r="F115">
        <v>905</v>
      </c>
      <c r="G115">
        <v>459.06</v>
      </c>
      <c r="H115">
        <v>5</v>
      </c>
      <c r="I115">
        <v>5</v>
      </c>
      <c r="J115">
        <v>5</v>
      </c>
      <c r="K115" cm="1">
        <f t="array" ref="K115">IF(COUNTA(_xlfn.UNIQUE(_xlfn._xlws.FILTER($C$2:$C$1001,$B$2:$B$1001=B115)))=1,1,0)</f>
        <v>0</v>
      </c>
    </row>
    <row r="116" spans="1:11" x14ac:dyDescent="0.2">
      <c r="A116" t="s">
        <v>132</v>
      </c>
      <c r="B116" t="s">
        <v>17</v>
      </c>
      <c r="C116" t="s">
        <v>28</v>
      </c>
      <c r="D116" t="s">
        <v>1043</v>
      </c>
      <c r="E116">
        <v>39</v>
      </c>
      <c r="F116">
        <v>278</v>
      </c>
      <c r="G116">
        <v>335.73</v>
      </c>
      <c r="H116">
        <v>4</v>
      </c>
      <c r="I116">
        <v>3</v>
      </c>
      <c r="J116">
        <v>5</v>
      </c>
      <c r="K116" cm="1">
        <f t="array" ref="K116">IF(COUNTA(_xlfn.UNIQUE(_xlfn._xlws.FILTER($C$2:$C$1001,$B$2:$B$1001=B116)))=1,1,0)</f>
        <v>0</v>
      </c>
    </row>
    <row r="117" spans="1:11" x14ac:dyDescent="0.2">
      <c r="A117" t="s">
        <v>133</v>
      </c>
      <c r="B117" t="s">
        <v>21</v>
      </c>
      <c r="C117" t="s">
        <v>18</v>
      </c>
      <c r="D117" t="s">
        <v>1038</v>
      </c>
      <c r="E117">
        <v>55</v>
      </c>
      <c r="F117">
        <v>765</v>
      </c>
      <c r="G117">
        <v>283.27999999999997</v>
      </c>
      <c r="H117">
        <v>5</v>
      </c>
      <c r="I117">
        <v>3</v>
      </c>
      <c r="J117">
        <v>5</v>
      </c>
      <c r="K117" cm="1">
        <f t="array" ref="K117">IF(COUNTA(_xlfn.UNIQUE(_xlfn._xlws.FILTER($C$2:$C$1001,$B$2:$B$1001=B117)))=1,1,0)</f>
        <v>0</v>
      </c>
    </row>
    <row r="118" spans="1:11" x14ac:dyDescent="0.2">
      <c r="A118" t="s">
        <v>134</v>
      </c>
      <c r="B118" t="s">
        <v>17</v>
      </c>
      <c r="C118" t="s">
        <v>18</v>
      </c>
      <c r="D118" t="s">
        <v>1037</v>
      </c>
      <c r="E118">
        <v>57</v>
      </c>
      <c r="F118">
        <v>800</v>
      </c>
      <c r="G118">
        <v>225.6</v>
      </c>
      <c r="H118">
        <v>4</v>
      </c>
      <c r="I118">
        <v>5</v>
      </c>
      <c r="J118">
        <v>5</v>
      </c>
      <c r="K118" cm="1">
        <f t="array" ref="K118">IF(COUNTA(_xlfn.UNIQUE(_xlfn._xlws.FILTER($C$2:$C$1001,$B$2:$B$1001=B118)))=1,1,0)</f>
        <v>0</v>
      </c>
    </row>
    <row r="119" spans="1:11" x14ac:dyDescent="0.2">
      <c r="A119" t="s">
        <v>135</v>
      </c>
      <c r="B119" t="s">
        <v>12</v>
      </c>
      <c r="C119" t="s">
        <v>18</v>
      </c>
      <c r="D119" t="s">
        <v>1047</v>
      </c>
      <c r="E119">
        <v>24</v>
      </c>
      <c r="F119">
        <v>769</v>
      </c>
      <c r="G119">
        <v>304.82</v>
      </c>
      <c r="H119">
        <v>5</v>
      </c>
      <c r="I119">
        <v>5</v>
      </c>
      <c r="J119">
        <v>4</v>
      </c>
      <c r="K119" cm="1">
        <f t="array" ref="K119">IF(COUNTA(_xlfn.UNIQUE(_xlfn._xlws.FILTER($C$2:$C$1001,$B$2:$B$1001=B119)))=1,1,0)</f>
        <v>0</v>
      </c>
    </row>
    <row r="120" spans="1:11" x14ac:dyDescent="0.2">
      <c r="A120" t="s">
        <v>136</v>
      </c>
      <c r="B120" t="s">
        <v>21</v>
      </c>
      <c r="C120" t="s">
        <v>13</v>
      </c>
      <c r="D120" t="s">
        <v>1040</v>
      </c>
      <c r="E120">
        <v>57</v>
      </c>
      <c r="F120">
        <v>293</v>
      </c>
      <c r="G120">
        <v>335.99</v>
      </c>
      <c r="H120">
        <v>5</v>
      </c>
      <c r="I120">
        <v>4</v>
      </c>
      <c r="J120">
        <v>5</v>
      </c>
      <c r="K120" cm="1">
        <f t="array" ref="K120">IF(COUNTA(_xlfn.UNIQUE(_xlfn._xlws.FILTER($C$2:$C$1001,$B$2:$B$1001=B120)))=1,1,0)</f>
        <v>0</v>
      </c>
    </row>
    <row r="121" spans="1:11" x14ac:dyDescent="0.2">
      <c r="A121" t="s">
        <v>137</v>
      </c>
      <c r="B121" t="s">
        <v>12</v>
      </c>
      <c r="C121" t="s">
        <v>13</v>
      </c>
      <c r="D121" t="s">
        <v>1036</v>
      </c>
      <c r="E121">
        <v>40</v>
      </c>
      <c r="F121">
        <v>154</v>
      </c>
      <c r="G121">
        <v>300.31</v>
      </c>
      <c r="H121">
        <v>5</v>
      </c>
      <c r="I121">
        <v>5</v>
      </c>
      <c r="J121">
        <v>4</v>
      </c>
      <c r="K121" cm="1">
        <f t="array" ref="K121">IF(COUNTA(_xlfn.UNIQUE(_xlfn._xlws.FILTER($C$2:$C$1001,$B$2:$B$1001=B121)))=1,1,0)</f>
        <v>0</v>
      </c>
    </row>
    <row r="122" spans="1:11" x14ac:dyDescent="0.2">
      <c r="A122" t="s">
        <v>138</v>
      </c>
      <c r="B122" t="s">
        <v>17</v>
      </c>
      <c r="C122" t="s">
        <v>18</v>
      </c>
      <c r="D122" t="s">
        <v>1037</v>
      </c>
      <c r="E122">
        <v>73</v>
      </c>
      <c r="F122">
        <v>899</v>
      </c>
      <c r="G122">
        <v>493.68</v>
      </c>
      <c r="H122">
        <v>3</v>
      </c>
      <c r="I122">
        <v>5</v>
      </c>
      <c r="J122">
        <v>5</v>
      </c>
      <c r="K122" cm="1">
        <f t="array" ref="K122">IF(COUNTA(_xlfn.UNIQUE(_xlfn._xlws.FILTER($C$2:$C$1001,$B$2:$B$1001=B122)))=1,1,0)</f>
        <v>0</v>
      </c>
    </row>
    <row r="123" spans="1:11" x14ac:dyDescent="0.2">
      <c r="A123" t="s">
        <v>139</v>
      </c>
      <c r="B123" t="s">
        <v>17</v>
      </c>
      <c r="C123" t="s">
        <v>18</v>
      </c>
      <c r="D123" t="s">
        <v>1037</v>
      </c>
      <c r="E123">
        <v>14</v>
      </c>
      <c r="F123">
        <v>427</v>
      </c>
      <c r="G123">
        <v>351.65</v>
      </c>
      <c r="H123">
        <v>5</v>
      </c>
      <c r="I123">
        <v>5</v>
      </c>
      <c r="J123">
        <v>5</v>
      </c>
      <c r="K123" cm="1">
        <f t="array" ref="K123">IF(COUNTA(_xlfn.UNIQUE(_xlfn._xlws.FILTER($C$2:$C$1001,$B$2:$B$1001=B123)))=1,1,0)</f>
        <v>0</v>
      </c>
    </row>
    <row r="124" spans="1:11" x14ac:dyDescent="0.2">
      <c r="A124" t="s">
        <v>140</v>
      </c>
      <c r="B124" t="s">
        <v>23</v>
      </c>
      <c r="C124" t="s">
        <v>18</v>
      </c>
      <c r="D124" t="s">
        <v>1039</v>
      </c>
      <c r="E124">
        <v>20</v>
      </c>
      <c r="F124">
        <v>387</v>
      </c>
      <c r="G124">
        <v>496.62</v>
      </c>
      <c r="H124">
        <v>4</v>
      </c>
      <c r="I124">
        <v>4</v>
      </c>
      <c r="J124">
        <v>5</v>
      </c>
      <c r="K124" cm="1">
        <f t="array" ref="K124">IF(COUNTA(_xlfn.UNIQUE(_xlfn._xlws.FILTER($C$2:$C$1001,$B$2:$B$1001=B124)))=1,1,0)</f>
        <v>0</v>
      </c>
    </row>
    <row r="125" spans="1:11" x14ac:dyDescent="0.2">
      <c r="A125" t="s">
        <v>141</v>
      </c>
      <c r="B125" t="s">
        <v>12</v>
      </c>
      <c r="C125" t="s">
        <v>18</v>
      </c>
      <c r="D125" t="s">
        <v>1047</v>
      </c>
      <c r="E125">
        <v>25</v>
      </c>
      <c r="F125">
        <v>429</v>
      </c>
      <c r="G125">
        <v>226.08</v>
      </c>
      <c r="H125">
        <v>5</v>
      </c>
      <c r="I125">
        <v>4</v>
      </c>
      <c r="J125">
        <v>4</v>
      </c>
      <c r="K125" cm="1">
        <f t="array" ref="K125">IF(COUNTA(_xlfn.UNIQUE(_xlfn._xlws.FILTER($C$2:$C$1001,$B$2:$B$1001=B125)))=1,1,0)</f>
        <v>0</v>
      </c>
    </row>
    <row r="126" spans="1:11" x14ac:dyDescent="0.2">
      <c r="A126" t="s">
        <v>142</v>
      </c>
      <c r="B126" t="s">
        <v>17</v>
      </c>
      <c r="C126" t="s">
        <v>28</v>
      </c>
      <c r="D126" t="s">
        <v>1043</v>
      </c>
      <c r="E126">
        <v>8</v>
      </c>
      <c r="F126">
        <v>996</v>
      </c>
      <c r="G126">
        <v>411.18</v>
      </c>
      <c r="H126">
        <v>4</v>
      </c>
      <c r="I126">
        <v>5</v>
      </c>
      <c r="J126">
        <v>4</v>
      </c>
      <c r="K126" cm="1">
        <f t="array" ref="K126">IF(COUNTA(_xlfn.UNIQUE(_xlfn._xlws.FILTER($C$2:$C$1001,$B$2:$B$1001=B126)))=1,1,0)</f>
        <v>0</v>
      </c>
    </row>
    <row r="127" spans="1:11" x14ac:dyDescent="0.2">
      <c r="A127" t="s">
        <v>143</v>
      </c>
      <c r="B127" t="s">
        <v>12</v>
      </c>
      <c r="C127" t="s">
        <v>13</v>
      </c>
      <c r="D127" t="s">
        <v>1036</v>
      </c>
      <c r="E127">
        <v>59</v>
      </c>
      <c r="F127">
        <v>360</v>
      </c>
      <c r="G127">
        <v>280.42</v>
      </c>
      <c r="H127">
        <v>3</v>
      </c>
      <c r="I127">
        <v>4</v>
      </c>
      <c r="J127">
        <v>4</v>
      </c>
      <c r="K127" cm="1">
        <f t="array" ref="K127">IF(COUNTA(_xlfn.UNIQUE(_xlfn._xlws.FILTER($C$2:$C$1001,$B$2:$B$1001=B127)))=1,1,0)</f>
        <v>0</v>
      </c>
    </row>
    <row r="128" spans="1:11" x14ac:dyDescent="0.2">
      <c r="A128" t="s">
        <v>144</v>
      </c>
      <c r="B128" t="s">
        <v>17</v>
      </c>
      <c r="C128" t="s">
        <v>13</v>
      </c>
      <c r="D128" t="s">
        <v>1045</v>
      </c>
      <c r="E128">
        <v>87</v>
      </c>
      <c r="F128">
        <v>463</v>
      </c>
      <c r="G128">
        <v>492.36</v>
      </c>
      <c r="H128">
        <v>5</v>
      </c>
      <c r="I128">
        <v>5</v>
      </c>
      <c r="J128">
        <v>5</v>
      </c>
      <c r="K128" cm="1">
        <f t="array" ref="K128">IF(COUNTA(_xlfn.UNIQUE(_xlfn._xlws.FILTER($C$2:$C$1001,$B$2:$B$1001=B128)))=1,1,0)</f>
        <v>0</v>
      </c>
    </row>
    <row r="129" spans="1:11" x14ac:dyDescent="0.2">
      <c r="A129" t="s">
        <v>145</v>
      </c>
      <c r="B129" t="s">
        <v>23</v>
      </c>
      <c r="C129" t="s">
        <v>28</v>
      </c>
      <c r="D129" t="s">
        <v>1046</v>
      </c>
      <c r="E129">
        <v>28</v>
      </c>
      <c r="F129">
        <v>651</v>
      </c>
      <c r="G129">
        <v>280.60000000000002</v>
      </c>
      <c r="H129">
        <v>3</v>
      </c>
      <c r="I129">
        <v>4</v>
      </c>
      <c r="J129">
        <v>5</v>
      </c>
      <c r="K129" cm="1">
        <f t="array" ref="K129">IF(COUNTA(_xlfn.UNIQUE(_xlfn._xlws.FILTER($C$2:$C$1001,$B$2:$B$1001=B129)))=1,1,0)</f>
        <v>0</v>
      </c>
    </row>
    <row r="130" spans="1:11" x14ac:dyDescent="0.2">
      <c r="A130" t="s">
        <v>146</v>
      </c>
      <c r="B130" t="s">
        <v>12</v>
      </c>
      <c r="C130" t="s">
        <v>18</v>
      </c>
      <c r="D130" t="s">
        <v>1047</v>
      </c>
      <c r="E130">
        <v>24</v>
      </c>
      <c r="F130">
        <v>128</v>
      </c>
      <c r="G130">
        <v>239.68</v>
      </c>
      <c r="H130">
        <v>5</v>
      </c>
      <c r="I130">
        <v>5</v>
      </c>
      <c r="J130">
        <v>4</v>
      </c>
      <c r="K130" cm="1">
        <f t="array" ref="K130">IF(COUNTA(_xlfn.UNIQUE(_xlfn._xlws.FILTER($C$2:$C$1001,$B$2:$B$1001=B130)))=1,1,0)</f>
        <v>0</v>
      </c>
    </row>
    <row r="131" spans="1:11" x14ac:dyDescent="0.2">
      <c r="A131" t="s">
        <v>147</v>
      </c>
      <c r="B131" t="s">
        <v>17</v>
      </c>
      <c r="C131" t="s">
        <v>13</v>
      </c>
      <c r="D131" t="s">
        <v>1045</v>
      </c>
      <c r="E131">
        <v>33</v>
      </c>
      <c r="F131">
        <v>133</v>
      </c>
      <c r="G131">
        <v>372.95</v>
      </c>
      <c r="H131">
        <v>4</v>
      </c>
      <c r="I131">
        <v>5</v>
      </c>
      <c r="J131">
        <v>4</v>
      </c>
      <c r="K131" cm="1">
        <f t="array" ref="K131">IF(COUNTA(_xlfn.UNIQUE(_xlfn._xlws.FILTER($C$2:$C$1001,$B$2:$B$1001=B131)))=1,1,0)</f>
        <v>0</v>
      </c>
    </row>
    <row r="132" spans="1:11" x14ac:dyDescent="0.2">
      <c r="A132" t="s">
        <v>148</v>
      </c>
      <c r="B132" t="s">
        <v>21</v>
      </c>
      <c r="C132" t="s">
        <v>18</v>
      </c>
      <c r="D132" t="s">
        <v>1038</v>
      </c>
      <c r="E132">
        <v>51</v>
      </c>
      <c r="F132">
        <v>709</v>
      </c>
      <c r="G132">
        <v>419.66</v>
      </c>
      <c r="H132">
        <v>5</v>
      </c>
      <c r="I132">
        <v>5</v>
      </c>
      <c r="J132">
        <v>5</v>
      </c>
      <c r="K132" cm="1">
        <f t="array" ref="K132">IF(COUNTA(_xlfn.UNIQUE(_xlfn._xlws.FILTER($C$2:$C$1001,$B$2:$B$1001=B132)))=1,1,0)</f>
        <v>0</v>
      </c>
    </row>
    <row r="133" spans="1:11" x14ac:dyDescent="0.2">
      <c r="A133" t="s">
        <v>149</v>
      </c>
      <c r="B133" t="s">
        <v>21</v>
      </c>
      <c r="C133" t="s">
        <v>13</v>
      </c>
      <c r="D133" t="s">
        <v>1040</v>
      </c>
      <c r="E133">
        <v>57</v>
      </c>
      <c r="F133">
        <v>733</v>
      </c>
      <c r="G133">
        <v>314.94</v>
      </c>
      <c r="H133">
        <v>5</v>
      </c>
      <c r="I133">
        <v>3</v>
      </c>
      <c r="J133">
        <v>5</v>
      </c>
      <c r="K133" cm="1">
        <f t="array" ref="K133">IF(COUNTA(_xlfn.UNIQUE(_xlfn._xlws.FILTER($C$2:$C$1001,$B$2:$B$1001=B133)))=1,1,0)</f>
        <v>0</v>
      </c>
    </row>
    <row r="134" spans="1:11" x14ac:dyDescent="0.2">
      <c r="A134" t="s">
        <v>150</v>
      </c>
      <c r="B134" t="s">
        <v>21</v>
      </c>
      <c r="C134" t="s">
        <v>18</v>
      </c>
      <c r="D134" t="s">
        <v>1038</v>
      </c>
      <c r="E134">
        <v>60</v>
      </c>
      <c r="F134">
        <v>248</v>
      </c>
      <c r="G134">
        <v>273.60000000000002</v>
      </c>
      <c r="H134">
        <v>5</v>
      </c>
      <c r="I134">
        <v>5</v>
      </c>
      <c r="J134">
        <v>4</v>
      </c>
      <c r="K134" cm="1">
        <f t="array" ref="K134">IF(COUNTA(_xlfn.UNIQUE(_xlfn._xlws.FILTER($C$2:$C$1001,$B$2:$B$1001=B134)))=1,1,0)</f>
        <v>0</v>
      </c>
    </row>
    <row r="135" spans="1:11" x14ac:dyDescent="0.2">
      <c r="A135" t="s">
        <v>151</v>
      </c>
      <c r="B135" t="s">
        <v>23</v>
      </c>
      <c r="C135" t="s">
        <v>13</v>
      </c>
      <c r="D135" t="s">
        <v>1041</v>
      </c>
      <c r="E135">
        <v>87</v>
      </c>
      <c r="F135">
        <v>505</v>
      </c>
      <c r="G135">
        <v>486.23</v>
      </c>
      <c r="H135">
        <v>5</v>
      </c>
      <c r="I135">
        <v>5</v>
      </c>
      <c r="J135">
        <v>4</v>
      </c>
      <c r="K135" cm="1">
        <f t="array" ref="K135">IF(COUNTA(_xlfn.UNIQUE(_xlfn._xlws.FILTER($C$2:$C$1001,$B$2:$B$1001=B135)))=1,1,0)</f>
        <v>0</v>
      </c>
    </row>
    <row r="136" spans="1:11" x14ac:dyDescent="0.2">
      <c r="A136" t="s">
        <v>152</v>
      </c>
      <c r="B136" t="s">
        <v>23</v>
      </c>
      <c r="C136" t="s">
        <v>18</v>
      </c>
      <c r="D136" t="s">
        <v>1039</v>
      </c>
      <c r="E136">
        <v>7</v>
      </c>
      <c r="F136">
        <v>300</v>
      </c>
      <c r="G136">
        <v>246.4</v>
      </c>
      <c r="H136">
        <v>3</v>
      </c>
      <c r="I136">
        <v>3</v>
      </c>
      <c r="J136">
        <v>5</v>
      </c>
      <c r="K136" cm="1">
        <f t="array" ref="K136">IF(COUNTA(_xlfn.UNIQUE(_xlfn._xlws.FILTER($C$2:$C$1001,$B$2:$B$1001=B136)))=1,1,0)</f>
        <v>0</v>
      </c>
    </row>
    <row r="137" spans="1:11" x14ac:dyDescent="0.2">
      <c r="A137" t="s">
        <v>153</v>
      </c>
      <c r="B137" t="s">
        <v>21</v>
      </c>
      <c r="C137" t="s">
        <v>13</v>
      </c>
      <c r="D137" t="s">
        <v>1040</v>
      </c>
      <c r="E137">
        <v>18</v>
      </c>
      <c r="F137">
        <v>124</v>
      </c>
      <c r="G137">
        <v>379.49</v>
      </c>
      <c r="H137">
        <v>3</v>
      </c>
      <c r="I137">
        <v>5</v>
      </c>
      <c r="J137">
        <v>4</v>
      </c>
      <c r="K137" cm="1">
        <f t="array" ref="K137">IF(COUNTA(_xlfn.UNIQUE(_xlfn._xlws.FILTER($C$2:$C$1001,$B$2:$B$1001=B137)))=1,1,0)</f>
        <v>0</v>
      </c>
    </row>
    <row r="138" spans="1:11" x14ac:dyDescent="0.2">
      <c r="A138" t="s">
        <v>154</v>
      </c>
      <c r="B138" t="s">
        <v>12</v>
      </c>
      <c r="C138" t="s">
        <v>18</v>
      </c>
      <c r="D138" t="s">
        <v>1047</v>
      </c>
      <c r="E138">
        <v>53</v>
      </c>
      <c r="F138">
        <v>916</v>
      </c>
      <c r="G138">
        <v>442.23</v>
      </c>
      <c r="H138">
        <v>5</v>
      </c>
      <c r="I138">
        <v>4</v>
      </c>
      <c r="J138">
        <v>4</v>
      </c>
      <c r="K138" cm="1">
        <f t="array" ref="K138">IF(COUNTA(_xlfn.UNIQUE(_xlfn._xlws.FILTER($C$2:$C$1001,$B$2:$B$1001=B138)))=1,1,0)</f>
        <v>0</v>
      </c>
    </row>
    <row r="139" spans="1:11" x14ac:dyDescent="0.2">
      <c r="A139" t="s">
        <v>155</v>
      </c>
      <c r="B139" t="s">
        <v>17</v>
      </c>
      <c r="C139" t="s">
        <v>28</v>
      </c>
      <c r="D139" t="s">
        <v>1043</v>
      </c>
      <c r="E139">
        <v>86</v>
      </c>
      <c r="F139">
        <v>875</v>
      </c>
      <c r="G139">
        <v>461.88</v>
      </c>
      <c r="H139">
        <v>4</v>
      </c>
      <c r="I139">
        <v>5</v>
      </c>
      <c r="J139">
        <v>4</v>
      </c>
      <c r="K139" cm="1">
        <f t="array" ref="K139">IF(COUNTA(_xlfn.UNIQUE(_xlfn._xlws.FILTER($C$2:$C$1001,$B$2:$B$1001=B139)))=1,1,0)</f>
        <v>0</v>
      </c>
    </row>
    <row r="140" spans="1:11" x14ac:dyDescent="0.2">
      <c r="A140" t="s">
        <v>156</v>
      </c>
      <c r="B140" t="s">
        <v>23</v>
      </c>
      <c r="C140" t="s">
        <v>18</v>
      </c>
      <c r="D140" t="s">
        <v>1039</v>
      </c>
      <c r="E140">
        <v>53</v>
      </c>
      <c r="F140">
        <v>367</v>
      </c>
      <c r="G140">
        <v>471.01</v>
      </c>
      <c r="H140">
        <v>4</v>
      </c>
      <c r="I140">
        <v>4</v>
      </c>
      <c r="J140">
        <v>4</v>
      </c>
      <c r="K140" cm="1">
        <f t="array" ref="K140">IF(COUNTA(_xlfn.UNIQUE(_xlfn._xlws.FILTER($C$2:$C$1001,$B$2:$B$1001=B140)))=1,1,0)</f>
        <v>0</v>
      </c>
    </row>
    <row r="141" spans="1:11" x14ac:dyDescent="0.2">
      <c r="A141" t="s">
        <v>157</v>
      </c>
      <c r="B141" t="s">
        <v>17</v>
      </c>
      <c r="C141" t="s">
        <v>28</v>
      </c>
      <c r="D141" t="s">
        <v>1043</v>
      </c>
      <c r="E141">
        <v>13</v>
      </c>
      <c r="F141">
        <v>893</v>
      </c>
      <c r="G141">
        <v>477.57</v>
      </c>
      <c r="H141">
        <v>5</v>
      </c>
      <c r="I141">
        <v>5</v>
      </c>
      <c r="J141">
        <v>4</v>
      </c>
      <c r="K141" cm="1">
        <f t="array" ref="K141">IF(COUNTA(_xlfn.UNIQUE(_xlfn._xlws.FILTER($C$2:$C$1001,$B$2:$B$1001=B141)))=1,1,0)</f>
        <v>0</v>
      </c>
    </row>
    <row r="142" spans="1:11" x14ac:dyDescent="0.2">
      <c r="A142" t="s">
        <v>158</v>
      </c>
      <c r="B142" t="s">
        <v>21</v>
      </c>
      <c r="C142" t="s">
        <v>28</v>
      </c>
      <c r="D142" t="s">
        <v>1044</v>
      </c>
      <c r="E142">
        <v>24</v>
      </c>
      <c r="F142">
        <v>926</v>
      </c>
      <c r="G142">
        <v>234.58</v>
      </c>
      <c r="H142">
        <v>4</v>
      </c>
      <c r="I142">
        <v>5</v>
      </c>
      <c r="J142">
        <v>4</v>
      </c>
      <c r="K142" cm="1">
        <f t="array" ref="K142">IF(COUNTA(_xlfn.UNIQUE(_xlfn._xlws.FILTER($C$2:$C$1001,$B$2:$B$1001=B142)))=1,1,0)</f>
        <v>0</v>
      </c>
    </row>
    <row r="143" spans="1:11" x14ac:dyDescent="0.2">
      <c r="A143" t="s">
        <v>159</v>
      </c>
      <c r="B143" t="s">
        <v>12</v>
      </c>
      <c r="C143" t="s">
        <v>18</v>
      </c>
      <c r="D143" t="s">
        <v>1047</v>
      </c>
      <c r="E143">
        <v>43</v>
      </c>
      <c r="F143">
        <v>258</v>
      </c>
      <c r="G143">
        <v>211.1</v>
      </c>
      <c r="H143">
        <v>5</v>
      </c>
      <c r="I143">
        <v>5</v>
      </c>
      <c r="J143">
        <v>5</v>
      </c>
      <c r="K143" cm="1">
        <f t="array" ref="K143">IF(COUNTA(_xlfn.UNIQUE(_xlfn._xlws.FILTER($C$2:$C$1001,$B$2:$B$1001=B143)))=1,1,0)</f>
        <v>0</v>
      </c>
    </row>
    <row r="144" spans="1:11" x14ac:dyDescent="0.2">
      <c r="A144" t="s">
        <v>160</v>
      </c>
      <c r="B144" t="s">
        <v>12</v>
      </c>
      <c r="C144" t="s">
        <v>18</v>
      </c>
      <c r="D144" t="s">
        <v>1047</v>
      </c>
      <c r="E144">
        <v>31</v>
      </c>
      <c r="F144">
        <v>463</v>
      </c>
      <c r="G144">
        <v>417.43</v>
      </c>
      <c r="H144">
        <v>4</v>
      </c>
      <c r="I144">
        <v>5</v>
      </c>
      <c r="J144">
        <v>4</v>
      </c>
      <c r="K144" cm="1">
        <f t="array" ref="K144">IF(COUNTA(_xlfn.UNIQUE(_xlfn._xlws.FILTER($C$2:$C$1001,$B$2:$B$1001=B144)))=1,1,0)</f>
        <v>0</v>
      </c>
    </row>
    <row r="145" spans="1:11" x14ac:dyDescent="0.2">
      <c r="A145" t="s">
        <v>161</v>
      </c>
      <c r="B145" t="s">
        <v>21</v>
      </c>
      <c r="C145" t="s">
        <v>28</v>
      </c>
      <c r="D145" t="s">
        <v>1044</v>
      </c>
      <c r="E145">
        <v>40</v>
      </c>
      <c r="F145">
        <v>525</v>
      </c>
      <c r="G145">
        <v>465.79</v>
      </c>
      <c r="H145">
        <v>5</v>
      </c>
      <c r="I145">
        <v>4</v>
      </c>
      <c r="J145">
        <v>5</v>
      </c>
      <c r="K145" cm="1">
        <f t="array" ref="K145">IF(COUNTA(_xlfn.UNIQUE(_xlfn._xlws.FILTER($C$2:$C$1001,$B$2:$B$1001=B145)))=1,1,0)</f>
        <v>0</v>
      </c>
    </row>
    <row r="146" spans="1:11" x14ac:dyDescent="0.2">
      <c r="A146" t="s">
        <v>162</v>
      </c>
      <c r="B146" t="s">
        <v>23</v>
      </c>
      <c r="C146" t="s">
        <v>28</v>
      </c>
      <c r="D146" t="s">
        <v>1046</v>
      </c>
      <c r="E146">
        <v>35</v>
      </c>
      <c r="F146">
        <v>373</v>
      </c>
      <c r="G146">
        <v>255.64</v>
      </c>
      <c r="H146">
        <v>5</v>
      </c>
      <c r="I146">
        <v>4</v>
      </c>
      <c r="J146">
        <v>5</v>
      </c>
      <c r="K146" cm="1">
        <f t="array" ref="K146">IF(COUNTA(_xlfn.UNIQUE(_xlfn._xlws.FILTER($C$2:$C$1001,$B$2:$B$1001=B146)))=1,1,0)</f>
        <v>0</v>
      </c>
    </row>
    <row r="147" spans="1:11" x14ac:dyDescent="0.2">
      <c r="A147" t="s">
        <v>163</v>
      </c>
      <c r="B147" t="s">
        <v>23</v>
      </c>
      <c r="C147" t="s">
        <v>28</v>
      </c>
      <c r="D147" t="s">
        <v>1046</v>
      </c>
      <c r="E147">
        <v>36</v>
      </c>
      <c r="F147">
        <v>847</v>
      </c>
      <c r="G147">
        <v>211.28</v>
      </c>
      <c r="H147">
        <v>3</v>
      </c>
      <c r="I147">
        <v>4</v>
      </c>
      <c r="J147">
        <v>4</v>
      </c>
      <c r="K147" cm="1">
        <f t="array" ref="K147">IF(COUNTA(_xlfn.UNIQUE(_xlfn._xlws.FILTER($C$2:$C$1001,$B$2:$B$1001=B147)))=1,1,0)</f>
        <v>0</v>
      </c>
    </row>
    <row r="148" spans="1:11" x14ac:dyDescent="0.2">
      <c r="A148" t="s">
        <v>164</v>
      </c>
      <c r="B148" t="s">
        <v>21</v>
      </c>
      <c r="C148" t="s">
        <v>18</v>
      </c>
      <c r="D148" t="s">
        <v>1038</v>
      </c>
      <c r="E148">
        <v>74</v>
      </c>
      <c r="F148">
        <v>676</v>
      </c>
      <c r="G148">
        <v>356.76</v>
      </c>
      <c r="H148">
        <v>4</v>
      </c>
      <c r="I148">
        <v>4</v>
      </c>
      <c r="J148">
        <v>5</v>
      </c>
      <c r="K148" cm="1">
        <f t="array" ref="K148">IF(COUNTA(_xlfn.UNIQUE(_xlfn._xlws.FILTER($C$2:$C$1001,$B$2:$B$1001=B148)))=1,1,0)</f>
        <v>0</v>
      </c>
    </row>
    <row r="149" spans="1:11" x14ac:dyDescent="0.2">
      <c r="A149" t="s">
        <v>165</v>
      </c>
      <c r="B149" t="s">
        <v>23</v>
      </c>
      <c r="C149" t="s">
        <v>18</v>
      </c>
      <c r="D149" t="s">
        <v>1039</v>
      </c>
      <c r="E149">
        <v>74</v>
      </c>
      <c r="F149">
        <v>804</v>
      </c>
      <c r="G149">
        <v>212.63</v>
      </c>
      <c r="H149">
        <v>5</v>
      </c>
      <c r="I149">
        <v>3</v>
      </c>
      <c r="J149">
        <v>4</v>
      </c>
      <c r="K149" cm="1">
        <f t="array" ref="K149">IF(COUNTA(_xlfn.UNIQUE(_xlfn._xlws.FILTER($C$2:$C$1001,$B$2:$B$1001=B149)))=1,1,0)</f>
        <v>0</v>
      </c>
    </row>
    <row r="150" spans="1:11" x14ac:dyDescent="0.2">
      <c r="A150" t="s">
        <v>166</v>
      </c>
      <c r="B150" t="s">
        <v>17</v>
      </c>
      <c r="C150" t="s">
        <v>28</v>
      </c>
      <c r="D150" t="s">
        <v>1043</v>
      </c>
      <c r="E150">
        <v>68</v>
      </c>
      <c r="F150">
        <v>479</v>
      </c>
      <c r="G150">
        <v>439.4</v>
      </c>
      <c r="H150">
        <v>4</v>
      </c>
      <c r="I150">
        <v>5</v>
      </c>
      <c r="J150">
        <v>5</v>
      </c>
      <c r="K150" cm="1">
        <f t="array" ref="K150">IF(COUNTA(_xlfn.UNIQUE(_xlfn._xlws.FILTER($C$2:$C$1001,$B$2:$B$1001=B150)))=1,1,0)</f>
        <v>0</v>
      </c>
    </row>
    <row r="151" spans="1:11" x14ac:dyDescent="0.2">
      <c r="A151" t="s">
        <v>167</v>
      </c>
      <c r="B151" t="s">
        <v>21</v>
      </c>
      <c r="C151" t="s">
        <v>18</v>
      </c>
      <c r="D151" t="s">
        <v>1038</v>
      </c>
      <c r="E151">
        <v>80</v>
      </c>
      <c r="F151">
        <v>871</v>
      </c>
      <c r="G151">
        <v>423.01</v>
      </c>
      <c r="H151">
        <v>5</v>
      </c>
      <c r="I151">
        <v>4</v>
      </c>
      <c r="J151">
        <v>4</v>
      </c>
      <c r="K151" cm="1">
        <f t="array" ref="K151">IF(COUNTA(_xlfn.UNIQUE(_xlfn._xlws.FILTER($C$2:$C$1001,$B$2:$B$1001=B151)))=1,1,0)</f>
        <v>0</v>
      </c>
    </row>
    <row r="152" spans="1:11" x14ac:dyDescent="0.2">
      <c r="A152" t="s">
        <v>168</v>
      </c>
      <c r="B152" t="s">
        <v>12</v>
      </c>
      <c r="C152" t="s">
        <v>13</v>
      </c>
      <c r="D152" t="s">
        <v>1036</v>
      </c>
      <c r="E152">
        <v>60</v>
      </c>
      <c r="F152">
        <v>852</v>
      </c>
      <c r="G152">
        <v>266.14999999999998</v>
      </c>
      <c r="H152">
        <v>4</v>
      </c>
      <c r="I152">
        <v>3</v>
      </c>
      <c r="J152">
        <v>5</v>
      </c>
      <c r="K152" cm="1">
        <f t="array" ref="K152">IF(COUNTA(_xlfn.UNIQUE(_xlfn._xlws.FILTER($C$2:$C$1001,$B$2:$B$1001=B152)))=1,1,0)</f>
        <v>0</v>
      </c>
    </row>
    <row r="153" spans="1:11" x14ac:dyDescent="0.2">
      <c r="A153" t="s">
        <v>169</v>
      </c>
      <c r="B153" t="s">
        <v>12</v>
      </c>
      <c r="C153" t="s">
        <v>28</v>
      </c>
      <c r="D153" t="s">
        <v>1042</v>
      </c>
      <c r="E153">
        <v>56</v>
      </c>
      <c r="F153">
        <v>119</v>
      </c>
      <c r="G153">
        <v>355.48</v>
      </c>
      <c r="H153">
        <v>4</v>
      </c>
      <c r="I153">
        <v>5</v>
      </c>
      <c r="J153">
        <v>5</v>
      </c>
      <c r="K153" cm="1">
        <f t="array" ref="K153">IF(COUNTA(_xlfn.UNIQUE(_xlfn._xlws.FILTER($C$2:$C$1001,$B$2:$B$1001=B153)))=1,1,0)</f>
        <v>0</v>
      </c>
    </row>
    <row r="154" spans="1:11" x14ac:dyDescent="0.2">
      <c r="A154" t="s">
        <v>170</v>
      </c>
      <c r="B154" t="s">
        <v>23</v>
      </c>
      <c r="C154" t="s">
        <v>18</v>
      </c>
      <c r="D154" t="s">
        <v>1039</v>
      </c>
      <c r="E154">
        <v>79</v>
      </c>
      <c r="F154">
        <v>259</v>
      </c>
      <c r="G154">
        <v>246.17</v>
      </c>
      <c r="H154">
        <v>5</v>
      </c>
      <c r="I154">
        <v>3</v>
      </c>
      <c r="J154">
        <v>4</v>
      </c>
      <c r="K154" cm="1">
        <f t="array" ref="K154">IF(COUNTA(_xlfn.UNIQUE(_xlfn._xlws.FILTER($C$2:$C$1001,$B$2:$B$1001=B154)))=1,1,0)</f>
        <v>0</v>
      </c>
    </row>
    <row r="155" spans="1:11" x14ac:dyDescent="0.2">
      <c r="A155" t="s">
        <v>171</v>
      </c>
      <c r="B155" t="s">
        <v>17</v>
      </c>
      <c r="C155" t="s">
        <v>18</v>
      </c>
      <c r="D155" t="s">
        <v>1037</v>
      </c>
      <c r="E155">
        <v>31</v>
      </c>
      <c r="F155">
        <v>716</v>
      </c>
      <c r="G155">
        <v>227.45</v>
      </c>
      <c r="H155">
        <v>4</v>
      </c>
      <c r="I155">
        <v>5</v>
      </c>
      <c r="J155">
        <v>5</v>
      </c>
      <c r="K155" cm="1">
        <f t="array" ref="K155">IF(COUNTA(_xlfn.UNIQUE(_xlfn._xlws.FILTER($C$2:$C$1001,$B$2:$B$1001=B155)))=1,1,0)</f>
        <v>0</v>
      </c>
    </row>
    <row r="156" spans="1:11" x14ac:dyDescent="0.2">
      <c r="A156" t="s">
        <v>172</v>
      </c>
      <c r="B156" t="s">
        <v>23</v>
      </c>
      <c r="C156" t="s">
        <v>28</v>
      </c>
      <c r="D156" t="s">
        <v>1046</v>
      </c>
      <c r="E156">
        <v>44</v>
      </c>
      <c r="F156">
        <v>139</v>
      </c>
      <c r="G156">
        <v>442.85</v>
      </c>
      <c r="H156">
        <v>5</v>
      </c>
      <c r="I156">
        <v>5</v>
      </c>
      <c r="J156">
        <v>4</v>
      </c>
      <c r="K156" cm="1">
        <f t="array" ref="K156">IF(COUNTA(_xlfn.UNIQUE(_xlfn._xlws.FILTER($C$2:$C$1001,$B$2:$B$1001=B156)))=1,1,0)</f>
        <v>0</v>
      </c>
    </row>
    <row r="157" spans="1:11" x14ac:dyDescent="0.2">
      <c r="A157" t="s">
        <v>173</v>
      </c>
      <c r="B157" t="s">
        <v>17</v>
      </c>
      <c r="C157" t="s">
        <v>18</v>
      </c>
      <c r="D157" t="s">
        <v>1037</v>
      </c>
      <c r="E157">
        <v>87</v>
      </c>
      <c r="F157">
        <v>553</v>
      </c>
      <c r="G157">
        <v>214.64</v>
      </c>
      <c r="H157">
        <v>3</v>
      </c>
      <c r="I157">
        <v>3</v>
      </c>
      <c r="J157">
        <v>4</v>
      </c>
      <c r="K157" cm="1">
        <f t="array" ref="K157">IF(COUNTA(_xlfn.UNIQUE(_xlfn._xlws.FILTER($C$2:$C$1001,$B$2:$B$1001=B157)))=1,1,0)</f>
        <v>0</v>
      </c>
    </row>
    <row r="158" spans="1:11" x14ac:dyDescent="0.2">
      <c r="A158" t="s">
        <v>174</v>
      </c>
      <c r="B158" t="s">
        <v>23</v>
      </c>
      <c r="C158" t="s">
        <v>13</v>
      </c>
      <c r="D158" t="s">
        <v>1041</v>
      </c>
      <c r="E158">
        <v>39</v>
      </c>
      <c r="F158">
        <v>448</v>
      </c>
      <c r="G158">
        <v>344.18</v>
      </c>
      <c r="H158">
        <v>5</v>
      </c>
      <c r="I158">
        <v>3</v>
      </c>
      <c r="J158">
        <v>4</v>
      </c>
      <c r="K158" cm="1">
        <f t="array" ref="K158">IF(COUNTA(_xlfn.UNIQUE(_xlfn._xlws.FILTER($C$2:$C$1001,$B$2:$B$1001=B158)))=1,1,0)</f>
        <v>0</v>
      </c>
    </row>
    <row r="159" spans="1:11" x14ac:dyDescent="0.2">
      <c r="A159" t="s">
        <v>175</v>
      </c>
      <c r="B159" t="s">
        <v>23</v>
      </c>
      <c r="C159" t="s">
        <v>18</v>
      </c>
      <c r="D159" t="s">
        <v>1039</v>
      </c>
      <c r="E159">
        <v>51</v>
      </c>
      <c r="F159">
        <v>191</v>
      </c>
      <c r="G159">
        <v>460.45</v>
      </c>
      <c r="H159">
        <v>4</v>
      </c>
      <c r="I159">
        <v>5</v>
      </c>
      <c r="J159">
        <v>4</v>
      </c>
      <c r="K159" cm="1">
        <f t="array" ref="K159">IF(COUNTA(_xlfn.UNIQUE(_xlfn._xlws.FILTER($C$2:$C$1001,$B$2:$B$1001=B159)))=1,1,0)</f>
        <v>0</v>
      </c>
    </row>
    <row r="160" spans="1:11" x14ac:dyDescent="0.2">
      <c r="A160" t="s">
        <v>176</v>
      </c>
      <c r="B160" t="s">
        <v>21</v>
      </c>
      <c r="C160" t="s">
        <v>18</v>
      </c>
      <c r="D160" t="s">
        <v>1038</v>
      </c>
      <c r="E160">
        <v>64</v>
      </c>
      <c r="F160">
        <v>766</v>
      </c>
      <c r="G160">
        <v>231.75</v>
      </c>
      <c r="H160">
        <v>5</v>
      </c>
      <c r="I160">
        <v>4</v>
      </c>
      <c r="J160">
        <v>5</v>
      </c>
      <c r="K160" cm="1">
        <f t="array" ref="K160">IF(COUNTA(_xlfn.UNIQUE(_xlfn._xlws.FILTER($C$2:$C$1001,$B$2:$B$1001=B160)))=1,1,0)</f>
        <v>0</v>
      </c>
    </row>
    <row r="161" spans="1:11" x14ac:dyDescent="0.2">
      <c r="A161" t="s">
        <v>177</v>
      </c>
      <c r="B161" t="s">
        <v>21</v>
      </c>
      <c r="C161" t="s">
        <v>13</v>
      </c>
      <c r="D161" t="s">
        <v>1040</v>
      </c>
      <c r="E161">
        <v>88</v>
      </c>
      <c r="F161">
        <v>493</v>
      </c>
      <c r="G161">
        <v>447.75</v>
      </c>
      <c r="H161">
        <v>5</v>
      </c>
      <c r="I161">
        <v>5</v>
      </c>
      <c r="J161">
        <v>5</v>
      </c>
      <c r="K161" cm="1">
        <f t="array" ref="K161">IF(COUNTA(_xlfn.UNIQUE(_xlfn._xlws.FILTER($C$2:$C$1001,$B$2:$B$1001=B161)))=1,1,0)</f>
        <v>0</v>
      </c>
    </row>
    <row r="162" spans="1:11" x14ac:dyDescent="0.2">
      <c r="A162" t="s">
        <v>178</v>
      </c>
      <c r="B162" t="s">
        <v>17</v>
      </c>
      <c r="C162" t="s">
        <v>18</v>
      </c>
      <c r="D162" t="s">
        <v>1037</v>
      </c>
      <c r="E162">
        <v>23</v>
      </c>
      <c r="F162">
        <v>623</v>
      </c>
      <c r="G162">
        <v>426.99</v>
      </c>
      <c r="H162">
        <v>5</v>
      </c>
      <c r="I162">
        <v>5</v>
      </c>
      <c r="J162">
        <v>4</v>
      </c>
      <c r="K162" cm="1">
        <f t="array" ref="K162">IF(COUNTA(_xlfn.UNIQUE(_xlfn._xlws.FILTER($C$2:$C$1001,$B$2:$B$1001=B162)))=1,1,0)</f>
        <v>0</v>
      </c>
    </row>
    <row r="163" spans="1:11" x14ac:dyDescent="0.2">
      <c r="A163" t="s">
        <v>179</v>
      </c>
      <c r="B163" t="s">
        <v>17</v>
      </c>
      <c r="C163" t="s">
        <v>13</v>
      </c>
      <c r="D163" t="s">
        <v>1045</v>
      </c>
      <c r="E163">
        <v>77</v>
      </c>
      <c r="F163">
        <v>955</v>
      </c>
      <c r="G163">
        <v>390.2</v>
      </c>
      <c r="H163">
        <v>5</v>
      </c>
      <c r="I163">
        <v>5</v>
      </c>
      <c r="J163">
        <v>4</v>
      </c>
      <c r="K163" cm="1">
        <f t="array" ref="K163">IF(COUNTA(_xlfn.UNIQUE(_xlfn._xlws.FILTER($C$2:$C$1001,$B$2:$B$1001=B163)))=1,1,0)</f>
        <v>0</v>
      </c>
    </row>
    <row r="164" spans="1:11" x14ac:dyDescent="0.2">
      <c r="A164" t="s">
        <v>180</v>
      </c>
      <c r="B164" t="s">
        <v>23</v>
      </c>
      <c r="C164" t="s">
        <v>18</v>
      </c>
      <c r="D164" t="s">
        <v>1039</v>
      </c>
      <c r="E164">
        <v>74</v>
      </c>
      <c r="F164">
        <v>511</v>
      </c>
      <c r="G164">
        <v>452.04</v>
      </c>
      <c r="H164">
        <v>3</v>
      </c>
      <c r="I164">
        <v>5</v>
      </c>
      <c r="J164">
        <v>5</v>
      </c>
      <c r="K164" cm="1">
        <f t="array" ref="K164">IF(COUNTA(_xlfn.UNIQUE(_xlfn._xlws.FILTER($C$2:$C$1001,$B$2:$B$1001=B164)))=1,1,0)</f>
        <v>0</v>
      </c>
    </row>
    <row r="165" spans="1:11" x14ac:dyDescent="0.2">
      <c r="A165" t="s">
        <v>181</v>
      </c>
      <c r="B165" t="s">
        <v>17</v>
      </c>
      <c r="C165" t="s">
        <v>13</v>
      </c>
      <c r="D165" t="s">
        <v>1045</v>
      </c>
      <c r="E165">
        <v>71</v>
      </c>
      <c r="F165">
        <v>830</v>
      </c>
      <c r="G165">
        <v>220.35</v>
      </c>
      <c r="H165">
        <v>4</v>
      </c>
      <c r="I165">
        <v>5</v>
      </c>
      <c r="J165">
        <v>5</v>
      </c>
      <c r="K165" cm="1">
        <f t="array" ref="K165">IF(COUNTA(_xlfn.UNIQUE(_xlfn._xlws.FILTER($C$2:$C$1001,$B$2:$B$1001=B165)))=1,1,0)</f>
        <v>0</v>
      </c>
    </row>
    <row r="166" spans="1:11" x14ac:dyDescent="0.2">
      <c r="A166" t="s">
        <v>182</v>
      </c>
      <c r="B166" t="s">
        <v>23</v>
      </c>
      <c r="C166" t="s">
        <v>18</v>
      </c>
      <c r="D166" t="s">
        <v>1039</v>
      </c>
      <c r="E166">
        <v>58</v>
      </c>
      <c r="F166">
        <v>405</v>
      </c>
      <c r="G166">
        <v>213.72</v>
      </c>
      <c r="H166">
        <v>5</v>
      </c>
      <c r="I166">
        <v>5</v>
      </c>
      <c r="J166">
        <v>5</v>
      </c>
      <c r="K166" cm="1">
        <f t="array" ref="K166">IF(COUNTA(_xlfn.UNIQUE(_xlfn._xlws.FILTER($C$2:$C$1001,$B$2:$B$1001=B166)))=1,1,0)</f>
        <v>0</v>
      </c>
    </row>
    <row r="167" spans="1:11" x14ac:dyDescent="0.2">
      <c r="A167" t="s">
        <v>183</v>
      </c>
      <c r="B167" t="s">
        <v>21</v>
      </c>
      <c r="C167" t="s">
        <v>28</v>
      </c>
      <c r="D167" t="s">
        <v>1044</v>
      </c>
      <c r="E167">
        <v>32</v>
      </c>
      <c r="F167">
        <v>132</v>
      </c>
      <c r="G167">
        <v>219.69</v>
      </c>
      <c r="H167">
        <v>5</v>
      </c>
      <c r="I167">
        <v>4</v>
      </c>
      <c r="J167">
        <v>5</v>
      </c>
      <c r="K167" cm="1">
        <f t="array" ref="K167">IF(COUNTA(_xlfn.UNIQUE(_xlfn._xlws.FILTER($C$2:$C$1001,$B$2:$B$1001=B167)))=1,1,0)</f>
        <v>0</v>
      </c>
    </row>
    <row r="168" spans="1:11" x14ac:dyDescent="0.2">
      <c r="A168" t="s">
        <v>184</v>
      </c>
      <c r="B168" t="s">
        <v>23</v>
      </c>
      <c r="C168" t="s">
        <v>28</v>
      </c>
      <c r="D168" t="s">
        <v>1046</v>
      </c>
      <c r="E168">
        <v>35</v>
      </c>
      <c r="F168">
        <v>198</v>
      </c>
      <c r="G168">
        <v>499.14</v>
      </c>
      <c r="H168">
        <v>5</v>
      </c>
      <c r="I168">
        <v>4</v>
      </c>
      <c r="J168">
        <v>4</v>
      </c>
      <c r="K168" cm="1">
        <f t="array" ref="K168">IF(COUNTA(_xlfn.UNIQUE(_xlfn._xlws.FILTER($C$2:$C$1001,$B$2:$B$1001=B168)))=1,1,0)</f>
        <v>0</v>
      </c>
    </row>
    <row r="169" spans="1:11" x14ac:dyDescent="0.2">
      <c r="A169" t="s">
        <v>185</v>
      </c>
      <c r="B169" t="s">
        <v>12</v>
      </c>
      <c r="C169" t="s">
        <v>28</v>
      </c>
      <c r="D169" t="s">
        <v>1042</v>
      </c>
      <c r="E169">
        <v>62</v>
      </c>
      <c r="F169">
        <v>183</v>
      </c>
      <c r="G169">
        <v>224.71</v>
      </c>
      <c r="H169">
        <v>4</v>
      </c>
      <c r="I169">
        <v>5</v>
      </c>
      <c r="J169">
        <v>5</v>
      </c>
      <c r="K169" cm="1">
        <f t="array" ref="K169">IF(COUNTA(_xlfn.UNIQUE(_xlfn._xlws.FILTER($C$2:$C$1001,$B$2:$B$1001=B169)))=1,1,0)</f>
        <v>0</v>
      </c>
    </row>
    <row r="170" spans="1:11" x14ac:dyDescent="0.2">
      <c r="A170" t="s">
        <v>186</v>
      </c>
      <c r="B170" t="s">
        <v>17</v>
      </c>
      <c r="C170" t="s">
        <v>28</v>
      </c>
      <c r="D170" t="s">
        <v>1043</v>
      </c>
      <c r="E170">
        <v>9</v>
      </c>
      <c r="F170">
        <v>968</v>
      </c>
      <c r="G170">
        <v>472.86</v>
      </c>
      <c r="H170">
        <v>3</v>
      </c>
      <c r="I170">
        <v>3</v>
      </c>
      <c r="J170">
        <v>4</v>
      </c>
      <c r="K170" cm="1">
        <f t="array" ref="K170">IF(COUNTA(_xlfn.UNIQUE(_xlfn._xlws.FILTER($C$2:$C$1001,$B$2:$B$1001=B170)))=1,1,0)</f>
        <v>0</v>
      </c>
    </row>
    <row r="171" spans="1:11" x14ac:dyDescent="0.2">
      <c r="A171" t="s">
        <v>187</v>
      </c>
      <c r="B171" t="s">
        <v>12</v>
      </c>
      <c r="C171" t="s">
        <v>18</v>
      </c>
      <c r="D171" t="s">
        <v>1047</v>
      </c>
      <c r="E171">
        <v>21</v>
      </c>
      <c r="F171">
        <v>626</v>
      </c>
      <c r="G171">
        <v>468.23</v>
      </c>
      <c r="H171">
        <v>3</v>
      </c>
      <c r="I171">
        <v>5</v>
      </c>
      <c r="J171">
        <v>5</v>
      </c>
      <c r="K171" cm="1">
        <f t="array" ref="K171">IF(COUNTA(_xlfn.UNIQUE(_xlfn._xlws.FILTER($C$2:$C$1001,$B$2:$B$1001=B171)))=1,1,0)</f>
        <v>0</v>
      </c>
    </row>
    <row r="172" spans="1:11" x14ac:dyDescent="0.2">
      <c r="A172" t="s">
        <v>188</v>
      </c>
      <c r="B172" t="s">
        <v>17</v>
      </c>
      <c r="C172" t="s">
        <v>18</v>
      </c>
      <c r="D172" t="s">
        <v>1037</v>
      </c>
      <c r="E172">
        <v>52</v>
      </c>
      <c r="F172">
        <v>529</v>
      </c>
      <c r="G172">
        <v>490.46</v>
      </c>
      <c r="H172">
        <v>5</v>
      </c>
      <c r="I172">
        <v>5</v>
      </c>
      <c r="J172">
        <v>4</v>
      </c>
      <c r="K172" cm="1">
        <f t="array" ref="K172">IF(COUNTA(_xlfn.UNIQUE(_xlfn._xlws.FILTER($C$2:$C$1001,$B$2:$B$1001=B172)))=1,1,0)</f>
        <v>0</v>
      </c>
    </row>
    <row r="173" spans="1:11" x14ac:dyDescent="0.2">
      <c r="A173" t="s">
        <v>189</v>
      </c>
      <c r="B173" t="s">
        <v>23</v>
      </c>
      <c r="C173" t="s">
        <v>28</v>
      </c>
      <c r="D173" t="s">
        <v>1046</v>
      </c>
      <c r="E173">
        <v>31</v>
      </c>
      <c r="F173">
        <v>792</v>
      </c>
      <c r="G173">
        <v>387.87</v>
      </c>
      <c r="H173">
        <v>5</v>
      </c>
      <c r="I173">
        <v>5</v>
      </c>
      <c r="J173">
        <v>5</v>
      </c>
      <c r="K173" cm="1">
        <f t="array" ref="K173">IF(COUNTA(_xlfn.UNIQUE(_xlfn._xlws.FILTER($C$2:$C$1001,$B$2:$B$1001=B173)))=1,1,0)</f>
        <v>0</v>
      </c>
    </row>
    <row r="174" spans="1:11" x14ac:dyDescent="0.2">
      <c r="A174" t="s">
        <v>190</v>
      </c>
      <c r="B174" t="s">
        <v>23</v>
      </c>
      <c r="C174" t="s">
        <v>13</v>
      </c>
      <c r="D174" t="s">
        <v>1041</v>
      </c>
      <c r="E174">
        <v>8</v>
      </c>
      <c r="F174">
        <v>335</v>
      </c>
      <c r="G174">
        <v>237.56</v>
      </c>
      <c r="H174">
        <v>4</v>
      </c>
      <c r="I174">
        <v>5</v>
      </c>
      <c r="J174">
        <v>5</v>
      </c>
      <c r="K174" cm="1">
        <f t="array" ref="K174">IF(COUNTA(_xlfn.UNIQUE(_xlfn._xlws.FILTER($C$2:$C$1001,$B$2:$B$1001=B174)))=1,1,0)</f>
        <v>0</v>
      </c>
    </row>
    <row r="175" spans="1:11" x14ac:dyDescent="0.2">
      <c r="A175" t="s">
        <v>191</v>
      </c>
      <c r="B175" t="s">
        <v>17</v>
      </c>
      <c r="C175" t="s">
        <v>13</v>
      </c>
      <c r="D175" t="s">
        <v>1045</v>
      </c>
      <c r="E175">
        <v>44</v>
      </c>
      <c r="F175">
        <v>820</v>
      </c>
      <c r="G175">
        <v>495.31</v>
      </c>
      <c r="H175">
        <v>5</v>
      </c>
      <c r="I175">
        <v>4</v>
      </c>
      <c r="J175">
        <v>5</v>
      </c>
      <c r="K175" cm="1">
        <f t="array" ref="K175">IF(COUNTA(_xlfn.UNIQUE(_xlfn._xlws.FILTER($C$2:$C$1001,$B$2:$B$1001=B175)))=1,1,0)</f>
        <v>0</v>
      </c>
    </row>
    <row r="176" spans="1:11" x14ac:dyDescent="0.2">
      <c r="A176" t="s">
        <v>192</v>
      </c>
      <c r="B176" t="s">
        <v>17</v>
      </c>
      <c r="C176" t="s">
        <v>13</v>
      </c>
      <c r="D176" t="s">
        <v>1045</v>
      </c>
      <c r="E176">
        <v>23</v>
      </c>
      <c r="F176">
        <v>201</v>
      </c>
      <c r="G176">
        <v>427.12</v>
      </c>
      <c r="H176">
        <v>5</v>
      </c>
      <c r="I176">
        <v>3</v>
      </c>
      <c r="J176">
        <v>4</v>
      </c>
      <c r="K176" cm="1">
        <f t="array" ref="K176">IF(COUNTA(_xlfn.UNIQUE(_xlfn._xlws.FILTER($C$2:$C$1001,$B$2:$B$1001=B176)))=1,1,0)</f>
        <v>0</v>
      </c>
    </row>
    <row r="177" spans="1:11" x14ac:dyDescent="0.2">
      <c r="A177" t="s">
        <v>193</v>
      </c>
      <c r="B177" t="s">
        <v>17</v>
      </c>
      <c r="C177" t="s">
        <v>18</v>
      </c>
      <c r="D177" t="s">
        <v>1037</v>
      </c>
      <c r="E177">
        <v>8</v>
      </c>
      <c r="F177">
        <v>691</v>
      </c>
      <c r="G177">
        <v>242.75</v>
      </c>
      <c r="H177">
        <v>4</v>
      </c>
      <c r="I177">
        <v>5</v>
      </c>
      <c r="J177">
        <v>5</v>
      </c>
      <c r="K177" cm="1">
        <f t="array" ref="K177">IF(COUNTA(_xlfn.UNIQUE(_xlfn._xlws.FILTER($C$2:$C$1001,$B$2:$B$1001=B177)))=1,1,0)</f>
        <v>0</v>
      </c>
    </row>
    <row r="178" spans="1:11" x14ac:dyDescent="0.2">
      <c r="A178" t="s">
        <v>194</v>
      </c>
      <c r="B178" t="s">
        <v>21</v>
      </c>
      <c r="C178" t="s">
        <v>28</v>
      </c>
      <c r="D178" t="s">
        <v>1044</v>
      </c>
      <c r="E178">
        <v>52</v>
      </c>
      <c r="F178">
        <v>688</v>
      </c>
      <c r="G178">
        <v>305.19</v>
      </c>
      <c r="H178">
        <v>4</v>
      </c>
      <c r="I178">
        <v>4</v>
      </c>
      <c r="J178">
        <v>5</v>
      </c>
      <c r="K178" cm="1">
        <f t="array" ref="K178">IF(COUNTA(_xlfn.UNIQUE(_xlfn._xlws.FILTER($C$2:$C$1001,$B$2:$B$1001=B178)))=1,1,0)</f>
        <v>0</v>
      </c>
    </row>
    <row r="179" spans="1:11" x14ac:dyDescent="0.2">
      <c r="A179" t="s">
        <v>195</v>
      </c>
      <c r="B179" t="s">
        <v>23</v>
      </c>
      <c r="C179" t="s">
        <v>28</v>
      </c>
      <c r="D179" t="s">
        <v>1046</v>
      </c>
      <c r="E179">
        <v>12</v>
      </c>
      <c r="F179">
        <v>986</v>
      </c>
      <c r="G179">
        <v>260.05</v>
      </c>
      <c r="H179">
        <v>4</v>
      </c>
      <c r="I179">
        <v>5</v>
      </c>
      <c r="J179">
        <v>5</v>
      </c>
      <c r="K179" cm="1">
        <f t="array" ref="K179">IF(COUNTA(_xlfn.UNIQUE(_xlfn._xlws.FILTER($C$2:$C$1001,$B$2:$B$1001=B179)))=1,1,0)</f>
        <v>0</v>
      </c>
    </row>
    <row r="180" spans="1:11" x14ac:dyDescent="0.2">
      <c r="A180" t="s">
        <v>196</v>
      </c>
      <c r="B180" t="s">
        <v>21</v>
      </c>
      <c r="C180" t="s">
        <v>13</v>
      </c>
      <c r="D180" t="s">
        <v>1040</v>
      </c>
      <c r="E180">
        <v>13</v>
      </c>
      <c r="F180">
        <v>515</v>
      </c>
      <c r="G180">
        <v>215.59</v>
      </c>
      <c r="H180">
        <v>5</v>
      </c>
      <c r="I180">
        <v>4</v>
      </c>
      <c r="J180">
        <v>4</v>
      </c>
      <c r="K180" cm="1">
        <f t="array" ref="K180">IF(COUNTA(_xlfn.UNIQUE(_xlfn._xlws.FILTER($C$2:$C$1001,$B$2:$B$1001=B180)))=1,1,0)</f>
        <v>0</v>
      </c>
    </row>
    <row r="181" spans="1:11" x14ac:dyDescent="0.2">
      <c r="A181" t="s">
        <v>197</v>
      </c>
      <c r="B181" t="s">
        <v>12</v>
      </c>
      <c r="C181" t="s">
        <v>28</v>
      </c>
      <c r="D181" t="s">
        <v>1042</v>
      </c>
      <c r="E181">
        <v>66</v>
      </c>
      <c r="F181">
        <v>413</v>
      </c>
      <c r="G181">
        <v>364.28</v>
      </c>
      <c r="H181">
        <v>5</v>
      </c>
      <c r="I181">
        <v>4</v>
      </c>
      <c r="J181">
        <v>5</v>
      </c>
      <c r="K181" cm="1">
        <f t="array" ref="K181">IF(COUNTA(_xlfn.UNIQUE(_xlfn._xlws.FILTER($C$2:$C$1001,$B$2:$B$1001=B181)))=1,1,0)</f>
        <v>0</v>
      </c>
    </row>
    <row r="182" spans="1:11" x14ac:dyDescent="0.2">
      <c r="A182" t="s">
        <v>198</v>
      </c>
      <c r="B182" t="s">
        <v>23</v>
      </c>
      <c r="C182" t="s">
        <v>18</v>
      </c>
      <c r="D182" t="s">
        <v>1039</v>
      </c>
      <c r="E182">
        <v>25</v>
      </c>
      <c r="F182">
        <v>111</v>
      </c>
      <c r="G182">
        <v>417.45</v>
      </c>
      <c r="H182">
        <v>4</v>
      </c>
      <c r="I182">
        <v>5</v>
      </c>
      <c r="J182">
        <v>4</v>
      </c>
      <c r="K182" cm="1">
        <f t="array" ref="K182">IF(COUNTA(_xlfn.UNIQUE(_xlfn._xlws.FILTER($C$2:$C$1001,$B$2:$B$1001=B182)))=1,1,0)</f>
        <v>0</v>
      </c>
    </row>
    <row r="183" spans="1:11" x14ac:dyDescent="0.2">
      <c r="A183" t="s">
        <v>199</v>
      </c>
      <c r="B183" t="s">
        <v>12</v>
      </c>
      <c r="C183" t="s">
        <v>28</v>
      </c>
      <c r="D183" t="s">
        <v>1042</v>
      </c>
      <c r="E183">
        <v>24</v>
      </c>
      <c r="F183">
        <v>832</v>
      </c>
      <c r="G183">
        <v>423.28</v>
      </c>
      <c r="H183">
        <v>5</v>
      </c>
      <c r="I183">
        <v>5</v>
      </c>
      <c r="J183">
        <v>4</v>
      </c>
      <c r="K183" cm="1">
        <f t="array" ref="K183">IF(COUNTA(_xlfn.UNIQUE(_xlfn._xlws.FILTER($C$2:$C$1001,$B$2:$B$1001=B183)))=1,1,0)</f>
        <v>0</v>
      </c>
    </row>
    <row r="184" spans="1:11" x14ac:dyDescent="0.2">
      <c r="A184" t="s">
        <v>200</v>
      </c>
      <c r="B184" t="s">
        <v>12</v>
      </c>
      <c r="C184" t="s">
        <v>13</v>
      </c>
      <c r="D184" t="s">
        <v>1036</v>
      </c>
      <c r="E184">
        <v>67</v>
      </c>
      <c r="F184">
        <v>972</v>
      </c>
      <c r="G184">
        <v>498.9</v>
      </c>
      <c r="H184">
        <v>5</v>
      </c>
      <c r="I184">
        <v>5</v>
      </c>
      <c r="J184">
        <v>4</v>
      </c>
      <c r="K184" cm="1">
        <f t="array" ref="K184">IF(COUNTA(_xlfn.UNIQUE(_xlfn._xlws.FILTER($C$2:$C$1001,$B$2:$B$1001=B184)))=1,1,0)</f>
        <v>0</v>
      </c>
    </row>
    <row r="185" spans="1:11" x14ac:dyDescent="0.2">
      <c r="A185" t="s">
        <v>201</v>
      </c>
      <c r="B185" t="s">
        <v>21</v>
      </c>
      <c r="C185" t="s">
        <v>28</v>
      </c>
      <c r="D185" t="s">
        <v>1044</v>
      </c>
      <c r="E185">
        <v>30</v>
      </c>
      <c r="F185">
        <v>431</v>
      </c>
      <c r="G185">
        <v>261.07</v>
      </c>
      <c r="H185">
        <v>5</v>
      </c>
      <c r="I185">
        <v>3</v>
      </c>
      <c r="J185">
        <v>4</v>
      </c>
      <c r="K185" cm="1">
        <f t="array" ref="K185">IF(COUNTA(_xlfn.UNIQUE(_xlfn._xlws.FILTER($C$2:$C$1001,$B$2:$B$1001=B185)))=1,1,0)</f>
        <v>0</v>
      </c>
    </row>
    <row r="186" spans="1:11" x14ac:dyDescent="0.2">
      <c r="A186" t="s">
        <v>202</v>
      </c>
      <c r="B186" t="s">
        <v>17</v>
      </c>
      <c r="C186" t="s">
        <v>13</v>
      </c>
      <c r="D186" t="s">
        <v>1045</v>
      </c>
      <c r="E186">
        <v>42</v>
      </c>
      <c r="F186">
        <v>481</v>
      </c>
      <c r="G186">
        <v>420.61</v>
      </c>
      <c r="H186">
        <v>3</v>
      </c>
      <c r="I186">
        <v>5</v>
      </c>
      <c r="J186">
        <v>5</v>
      </c>
      <c r="K186" cm="1">
        <f t="array" ref="K186">IF(COUNTA(_xlfn.UNIQUE(_xlfn._xlws.FILTER($C$2:$C$1001,$B$2:$B$1001=B186)))=1,1,0)</f>
        <v>0</v>
      </c>
    </row>
    <row r="187" spans="1:11" x14ac:dyDescent="0.2">
      <c r="A187" t="s">
        <v>203</v>
      </c>
      <c r="B187" t="s">
        <v>23</v>
      </c>
      <c r="C187" t="s">
        <v>13</v>
      </c>
      <c r="D187" t="s">
        <v>1041</v>
      </c>
      <c r="E187">
        <v>64</v>
      </c>
      <c r="F187">
        <v>677</v>
      </c>
      <c r="G187">
        <v>346</v>
      </c>
      <c r="H187">
        <v>5</v>
      </c>
      <c r="I187">
        <v>5</v>
      </c>
      <c r="J187">
        <v>4</v>
      </c>
      <c r="K187" cm="1">
        <f t="array" ref="K187">IF(COUNTA(_xlfn.UNIQUE(_xlfn._xlws.FILTER($C$2:$C$1001,$B$2:$B$1001=B187)))=1,1,0)</f>
        <v>0</v>
      </c>
    </row>
    <row r="188" spans="1:11" x14ac:dyDescent="0.2">
      <c r="A188" t="s">
        <v>204</v>
      </c>
      <c r="B188" t="s">
        <v>23</v>
      </c>
      <c r="C188" t="s">
        <v>18</v>
      </c>
      <c r="D188" t="s">
        <v>1039</v>
      </c>
      <c r="E188">
        <v>14</v>
      </c>
      <c r="F188">
        <v>629</v>
      </c>
      <c r="G188">
        <v>315.14999999999998</v>
      </c>
      <c r="H188">
        <v>5</v>
      </c>
      <c r="I188">
        <v>5</v>
      </c>
      <c r="J188">
        <v>5</v>
      </c>
      <c r="K188" cm="1">
        <f t="array" ref="K188">IF(COUNTA(_xlfn.UNIQUE(_xlfn._xlws.FILTER($C$2:$C$1001,$B$2:$B$1001=B188)))=1,1,0)</f>
        <v>0</v>
      </c>
    </row>
    <row r="189" spans="1:11" x14ac:dyDescent="0.2">
      <c r="A189" t="s">
        <v>205</v>
      </c>
      <c r="B189" t="s">
        <v>17</v>
      </c>
      <c r="C189" t="s">
        <v>18</v>
      </c>
      <c r="D189" t="s">
        <v>1037</v>
      </c>
      <c r="E189">
        <v>47</v>
      </c>
      <c r="F189">
        <v>625</v>
      </c>
      <c r="G189">
        <v>253.9</v>
      </c>
      <c r="H189">
        <v>4</v>
      </c>
      <c r="I189">
        <v>5</v>
      </c>
      <c r="J189">
        <v>5</v>
      </c>
      <c r="K189" cm="1">
        <f t="array" ref="K189">IF(COUNTA(_xlfn.UNIQUE(_xlfn._xlws.FILTER($C$2:$C$1001,$B$2:$B$1001=B189)))=1,1,0)</f>
        <v>0</v>
      </c>
    </row>
    <row r="190" spans="1:11" x14ac:dyDescent="0.2">
      <c r="A190" t="s">
        <v>206</v>
      </c>
      <c r="B190" t="s">
        <v>23</v>
      </c>
      <c r="C190" t="s">
        <v>13</v>
      </c>
      <c r="D190" t="s">
        <v>1041</v>
      </c>
      <c r="E190">
        <v>23</v>
      </c>
      <c r="F190">
        <v>113</v>
      </c>
      <c r="G190">
        <v>321.51</v>
      </c>
      <c r="H190">
        <v>5</v>
      </c>
      <c r="I190">
        <v>5</v>
      </c>
      <c r="J190">
        <v>5</v>
      </c>
      <c r="K190" cm="1">
        <f t="array" ref="K190">IF(COUNTA(_xlfn.UNIQUE(_xlfn._xlws.FILTER($C$2:$C$1001,$B$2:$B$1001=B190)))=1,1,0)</f>
        <v>0</v>
      </c>
    </row>
    <row r="191" spans="1:11" x14ac:dyDescent="0.2">
      <c r="A191" t="s">
        <v>207</v>
      </c>
      <c r="B191" t="s">
        <v>12</v>
      </c>
      <c r="C191" t="s">
        <v>18</v>
      </c>
      <c r="D191" t="s">
        <v>1047</v>
      </c>
      <c r="E191">
        <v>53</v>
      </c>
      <c r="F191">
        <v>262</v>
      </c>
      <c r="G191">
        <v>319.70999999999998</v>
      </c>
      <c r="H191">
        <v>3</v>
      </c>
      <c r="I191">
        <v>5</v>
      </c>
      <c r="J191">
        <v>4</v>
      </c>
      <c r="K191" cm="1">
        <f t="array" ref="K191">IF(COUNTA(_xlfn.UNIQUE(_xlfn._xlws.FILTER($C$2:$C$1001,$B$2:$B$1001=B191)))=1,1,0)</f>
        <v>0</v>
      </c>
    </row>
    <row r="192" spans="1:11" x14ac:dyDescent="0.2">
      <c r="A192" t="s">
        <v>208</v>
      </c>
      <c r="B192" t="s">
        <v>12</v>
      </c>
      <c r="C192" t="s">
        <v>13</v>
      </c>
      <c r="D192" t="s">
        <v>1036</v>
      </c>
      <c r="E192">
        <v>7</v>
      </c>
      <c r="F192">
        <v>369</v>
      </c>
      <c r="G192">
        <v>222.05</v>
      </c>
      <c r="H192">
        <v>4</v>
      </c>
      <c r="I192">
        <v>4</v>
      </c>
      <c r="J192">
        <v>5</v>
      </c>
      <c r="K192" cm="1">
        <f t="array" ref="K192">IF(COUNTA(_xlfn.UNIQUE(_xlfn._xlws.FILTER($C$2:$C$1001,$B$2:$B$1001=B192)))=1,1,0)</f>
        <v>0</v>
      </c>
    </row>
    <row r="193" spans="1:11" x14ac:dyDescent="0.2">
      <c r="A193" t="s">
        <v>209</v>
      </c>
      <c r="B193" t="s">
        <v>21</v>
      </c>
      <c r="C193" t="s">
        <v>18</v>
      </c>
      <c r="D193" t="s">
        <v>1038</v>
      </c>
      <c r="E193">
        <v>53</v>
      </c>
      <c r="F193">
        <v>612</v>
      </c>
      <c r="G193">
        <v>385.14</v>
      </c>
      <c r="H193">
        <v>5</v>
      </c>
      <c r="I193">
        <v>4</v>
      </c>
      <c r="J193">
        <v>4</v>
      </c>
      <c r="K193" cm="1">
        <f t="array" ref="K193">IF(COUNTA(_xlfn.UNIQUE(_xlfn._xlws.FILTER($C$2:$C$1001,$B$2:$B$1001=B193)))=1,1,0)</f>
        <v>0</v>
      </c>
    </row>
    <row r="194" spans="1:11" x14ac:dyDescent="0.2">
      <c r="A194" t="s">
        <v>210</v>
      </c>
      <c r="B194" t="s">
        <v>21</v>
      </c>
      <c r="C194" t="s">
        <v>28</v>
      </c>
      <c r="D194" t="s">
        <v>1044</v>
      </c>
      <c r="E194">
        <v>67</v>
      </c>
      <c r="F194">
        <v>731</v>
      </c>
      <c r="G194">
        <v>434.54</v>
      </c>
      <c r="H194">
        <v>5</v>
      </c>
      <c r="I194">
        <v>4</v>
      </c>
      <c r="J194">
        <v>5</v>
      </c>
      <c r="K194" cm="1">
        <f t="array" ref="K194">IF(COUNTA(_xlfn.UNIQUE(_xlfn._xlws.FILTER($C$2:$C$1001,$B$2:$B$1001=B194)))=1,1,0)</f>
        <v>0</v>
      </c>
    </row>
    <row r="195" spans="1:11" x14ac:dyDescent="0.2">
      <c r="A195" t="s">
        <v>211</v>
      </c>
      <c r="B195" t="s">
        <v>17</v>
      </c>
      <c r="C195" t="s">
        <v>18</v>
      </c>
      <c r="D195" t="s">
        <v>1037</v>
      </c>
      <c r="E195">
        <v>41</v>
      </c>
      <c r="F195">
        <v>610</v>
      </c>
      <c r="G195">
        <v>217.13</v>
      </c>
      <c r="H195">
        <v>4</v>
      </c>
      <c r="I195">
        <v>5</v>
      </c>
      <c r="J195">
        <v>4</v>
      </c>
      <c r="K195" cm="1">
        <f t="array" ref="K195">IF(COUNTA(_xlfn.UNIQUE(_xlfn._xlws.FILTER($C$2:$C$1001,$B$2:$B$1001=B195)))=1,1,0)</f>
        <v>0</v>
      </c>
    </row>
    <row r="196" spans="1:11" x14ac:dyDescent="0.2">
      <c r="A196" t="s">
        <v>212</v>
      </c>
      <c r="B196" t="s">
        <v>23</v>
      </c>
      <c r="C196" t="s">
        <v>13</v>
      </c>
      <c r="D196" t="s">
        <v>1041</v>
      </c>
      <c r="E196">
        <v>49</v>
      </c>
      <c r="F196">
        <v>260</v>
      </c>
      <c r="G196">
        <v>226.57</v>
      </c>
      <c r="H196">
        <v>3</v>
      </c>
      <c r="I196">
        <v>4</v>
      </c>
      <c r="J196">
        <v>4</v>
      </c>
      <c r="K196" cm="1">
        <f t="array" ref="K196">IF(COUNTA(_xlfn.UNIQUE(_xlfn._xlws.FILTER($C$2:$C$1001,$B$2:$B$1001=B196)))=1,1,0)</f>
        <v>0</v>
      </c>
    </row>
    <row r="197" spans="1:11" x14ac:dyDescent="0.2">
      <c r="A197" t="s">
        <v>213</v>
      </c>
      <c r="B197" t="s">
        <v>23</v>
      </c>
      <c r="C197" t="s">
        <v>28</v>
      </c>
      <c r="D197" t="s">
        <v>1046</v>
      </c>
      <c r="E197">
        <v>29</v>
      </c>
      <c r="F197">
        <v>284</v>
      </c>
      <c r="G197">
        <v>391.74</v>
      </c>
      <c r="H197">
        <v>5</v>
      </c>
      <c r="I197">
        <v>4</v>
      </c>
      <c r="J197">
        <v>4</v>
      </c>
      <c r="K197" cm="1">
        <f t="array" ref="K197">IF(COUNTA(_xlfn.UNIQUE(_xlfn._xlws.FILTER($C$2:$C$1001,$B$2:$B$1001=B197)))=1,1,0)</f>
        <v>0</v>
      </c>
    </row>
    <row r="198" spans="1:11" x14ac:dyDescent="0.2">
      <c r="A198" t="s">
        <v>214</v>
      </c>
      <c r="B198" t="s">
        <v>17</v>
      </c>
      <c r="C198" t="s">
        <v>13</v>
      </c>
      <c r="D198" t="s">
        <v>1045</v>
      </c>
      <c r="E198">
        <v>14</v>
      </c>
      <c r="F198">
        <v>737</v>
      </c>
      <c r="G198">
        <v>237.72</v>
      </c>
      <c r="H198">
        <v>5</v>
      </c>
      <c r="I198">
        <v>5</v>
      </c>
      <c r="J198">
        <v>4</v>
      </c>
      <c r="K198" cm="1">
        <f t="array" ref="K198">IF(COUNTA(_xlfn.UNIQUE(_xlfn._xlws.FILTER($C$2:$C$1001,$B$2:$B$1001=B198)))=1,1,0)</f>
        <v>0</v>
      </c>
    </row>
    <row r="199" spans="1:11" x14ac:dyDescent="0.2">
      <c r="A199" t="s">
        <v>215</v>
      </c>
      <c r="B199" t="s">
        <v>23</v>
      </c>
      <c r="C199" t="s">
        <v>28</v>
      </c>
      <c r="D199" t="s">
        <v>1046</v>
      </c>
      <c r="E199">
        <v>40</v>
      </c>
      <c r="F199">
        <v>768</v>
      </c>
      <c r="G199">
        <v>419.25</v>
      </c>
      <c r="H199">
        <v>4</v>
      </c>
      <c r="I199">
        <v>5</v>
      </c>
      <c r="J199">
        <v>5</v>
      </c>
      <c r="K199" cm="1">
        <f t="array" ref="K199">IF(COUNTA(_xlfn.UNIQUE(_xlfn._xlws.FILTER($C$2:$C$1001,$B$2:$B$1001=B199)))=1,1,0)</f>
        <v>0</v>
      </c>
    </row>
    <row r="200" spans="1:11" x14ac:dyDescent="0.2">
      <c r="A200" t="s">
        <v>216</v>
      </c>
      <c r="B200" t="s">
        <v>21</v>
      </c>
      <c r="C200" t="s">
        <v>13</v>
      </c>
      <c r="D200" t="s">
        <v>1040</v>
      </c>
      <c r="E200">
        <v>82</v>
      </c>
      <c r="F200">
        <v>513</v>
      </c>
      <c r="G200">
        <v>483.38</v>
      </c>
      <c r="H200">
        <v>5</v>
      </c>
      <c r="I200">
        <v>3</v>
      </c>
      <c r="J200">
        <v>5</v>
      </c>
      <c r="K200" cm="1">
        <f t="array" ref="K200">IF(COUNTA(_xlfn.UNIQUE(_xlfn._xlws.FILTER($C$2:$C$1001,$B$2:$B$1001=B200)))=1,1,0)</f>
        <v>0</v>
      </c>
    </row>
    <row r="201" spans="1:11" x14ac:dyDescent="0.2">
      <c r="A201" t="s">
        <v>217</v>
      </c>
      <c r="B201" t="s">
        <v>12</v>
      </c>
      <c r="C201" t="s">
        <v>13</v>
      </c>
      <c r="D201" t="s">
        <v>1036</v>
      </c>
      <c r="E201">
        <v>68</v>
      </c>
      <c r="F201">
        <v>900</v>
      </c>
      <c r="G201">
        <v>406.86</v>
      </c>
      <c r="H201">
        <v>4</v>
      </c>
      <c r="I201">
        <v>3</v>
      </c>
      <c r="J201">
        <v>4</v>
      </c>
      <c r="K201" cm="1">
        <f t="array" ref="K201">IF(COUNTA(_xlfn.UNIQUE(_xlfn._xlws.FILTER($C$2:$C$1001,$B$2:$B$1001=B201)))=1,1,0)</f>
        <v>0</v>
      </c>
    </row>
    <row r="202" spans="1:11" x14ac:dyDescent="0.2">
      <c r="A202" t="s">
        <v>218</v>
      </c>
      <c r="B202" t="s">
        <v>17</v>
      </c>
      <c r="C202" t="s">
        <v>18</v>
      </c>
      <c r="D202" t="s">
        <v>1037</v>
      </c>
      <c r="E202">
        <v>83</v>
      </c>
      <c r="F202">
        <v>674</v>
      </c>
      <c r="G202">
        <v>381.49</v>
      </c>
      <c r="H202">
        <v>4</v>
      </c>
      <c r="I202">
        <v>4</v>
      </c>
      <c r="J202">
        <v>4</v>
      </c>
      <c r="K202" cm="1">
        <f t="array" ref="K202">IF(COUNTA(_xlfn.UNIQUE(_xlfn._xlws.FILTER($C$2:$C$1001,$B$2:$B$1001=B202)))=1,1,0)</f>
        <v>0</v>
      </c>
    </row>
    <row r="203" spans="1:11" x14ac:dyDescent="0.2">
      <c r="A203" t="s">
        <v>219</v>
      </c>
      <c r="B203" t="s">
        <v>12</v>
      </c>
      <c r="C203" t="s">
        <v>13</v>
      </c>
      <c r="D203" t="s">
        <v>1036</v>
      </c>
      <c r="E203">
        <v>88</v>
      </c>
      <c r="F203">
        <v>480</v>
      </c>
      <c r="G203">
        <v>463.55</v>
      </c>
      <c r="H203">
        <v>5</v>
      </c>
      <c r="I203">
        <v>4</v>
      </c>
      <c r="J203">
        <v>5</v>
      </c>
      <c r="K203" cm="1">
        <f t="array" ref="K203">IF(COUNTA(_xlfn.UNIQUE(_xlfn._xlws.FILTER($C$2:$C$1001,$B$2:$B$1001=B203)))=1,1,0)</f>
        <v>0</v>
      </c>
    </row>
    <row r="204" spans="1:11" x14ac:dyDescent="0.2">
      <c r="A204" t="s">
        <v>220</v>
      </c>
      <c r="B204" t="s">
        <v>21</v>
      </c>
      <c r="C204" t="s">
        <v>13</v>
      </c>
      <c r="D204" t="s">
        <v>1040</v>
      </c>
      <c r="E204">
        <v>21</v>
      </c>
      <c r="F204">
        <v>430</v>
      </c>
      <c r="G204">
        <v>330.67</v>
      </c>
      <c r="H204">
        <v>5</v>
      </c>
      <c r="I204">
        <v>3</v>
      </c>
      <c r="J204">
        <v>4</v>
      </c>
      <c r="K204" cm="1">
        <f t="array" ref="K204">IF(COUNTA(_xlfn.UNIQUE(_xlfn._xlws.FILTER($C$2:$C$1001,$B$2:$B$1001=B204)))=1,1,0)</f>
        <v>0</v>
      </c>
    </row>
    <row r="205" spans="1:11" x14ac:dyDescent="0.2">
      <c r="A205" t="s">
        <v>221</v>
      </c>
      <c r="B205" t="s">
        <v>21</v>
      </c>
      <c r="C205" t="s">
        <v>18</v>
      </c>
      <c r="D205" t="s">
        <v>1038</v>
      </c>
      <c r="E205">
        <v>50</v>
      </c>
      <c r="F205">
        <v>927</v>
      </c>
      <c r="G205">
        <v>318.85000000000002</v>
      </c>
      <c r="H205">
        <v>4</v>
      </c>
      <c r="I205">
        <v>5</v>
      </c>
      <c r="J205">
        <v>4</v>
      </c>
      <c r="K205" cm="1">
        <f t="array" ref="K205">IF(COUNTA(_xlfn.UNIQUE(_xlfn._xlws.FILTER($C$2:$C$1001,$B$2:$B$1001=B205)))=1,1,0)</f>
        <v>0</v>
      </c>
    </row>
    <row r="206" spans="1:11" x14ac:dyDescent="0.2">
      <c r="A206" t="s">
        <v>222</v>
      </c>
      <c r="B206" t="s">
        <v>23</v>
      </c>
      <c r="C206" t="s">
        <v>13</v>
      </c>
      <c r="D206" t="s">
        <v>1041</v>
      </c>
      <c r="E206">
        <v>32</v>
      </c>
      <c r="F206">
        <v>721</v>
      </c>
      <c r="G206">
        <v>381.03</v>
      </c>
      <c r="H206">
        <v>4</v>
      </c>
      <c r="I206">
        <v>5</v>
      </c>
      <c r="J206">
        <v>5</v>
      </c>
      <c r="K206" cm="1">
        <f t="array" ref="K206">IF(COUNTA(_xlfn.UNIQUE(_xlfn._xlws.FILTER($C$2:$C$1001,$B$2:$B$1001=B206)))=1,1,0)</f>
        <v>0</v>
      </c>
    </row>
    <row r="207" spans="1:11" x14ac:dyDescent="0.2">
      <c r="A207" t="s">
        <v>223</v>
      </c>
      <c r="B207" t="s">
        <v>17</v>
      </c>
      <c r="C207" t="s">
        <v>18</v>
      </c>
      <c r="D207" t="s">
        <v>1037</v>
      </c>
      <c r="E207">
        <v>85</v>
      </c>
      <c r="F207">
        <v>728</v>
      </c>
      <c r="G207">
        <v>343.75</v>
      </c>
      <c r="H207">
        <v>5</v>
      </c>
      <c r="I207">
        <v>4</v>
      </c>
      <c r="J207">
        <v>4</v>
      </c>
      <c r="K207" cm="1">
        <f t="array" ref="K207">IF(COUNTA(_xlfn.UNIQUE(_xlfn._xlws.FILTER($C$2:$C$1001,$B$2:$B$1001=B207)))=1,1,0)</f>
        <v>0</v>
      </c>
    </row>
    <row r="208" spans="1:11" x14ac:dyDescent="0.2">
      <c r="A208" t="s">
        <v>224</v>
      </c>
      <c r="B208" t="s">
        <v>17</v>
      </c>
      <c r="C208" t="s">
        <v>28</v>
      </c>
      <c r="D208" t="s">
        <v>1043</v>
      </c>
      <c r="E208">
        <v>27</v>
      </c>
      <c r="F208">
        <v>442</v>
      </c>
      <c r="G208">
        <v>318.31</v>
      </c>
      <c r="H208">
        <v>5</v>
      </c>
      <c r="I208">
        <v>3</v>
      </c>
      <c r="J208">
        <v>5</v>
      </c>
      <c r="K208" cm="1">
        <f t="array" ref="K208">IF(COUNTA(_xlfn.UNIQUE(_xlfn._xlws.FILTER($C$2:$C$1001,$B$2:$B$1001=B208)))=1,1,0)</f>
        <v>0</v>
      </c>
    </row>
    <row r="209" spans="1:11" x14ac:dyDescent="0.2">
      <c r="A209" t="s">
        <v>225</v>
      </c>
      <c r="B209" t="s">
        <v>12</v>
      </c>
      <c r="C209" t="s">
        <v>28</v>
      </c>
      <c r="D209" t="s">
        <v>1042</v>
      </c>
      <c r="E209">
        <v>74</v>
      </c>
      <c r="F209">
        <v>216</v>
      </c>
      <c r="G209">
        <v>469.01</v>
      </c>
      <c r="H209">
        <v>5</v>
      </c>
      <c r="I209">
        <v>5</v>
      </c>
      <c r="J209">
        <v>5</v>
      </c>
      <c r="K209" cm="1">
        <f t="array" ref="K209">IF(COUNTA(_xlfn.UNIQUE(_xlfn._xlws.FILTER($C$2:$C$1001,$B$2:$B$1001=B209)))=1,1,0)</f>
        <v>0</v>
      </c>
    </row>
    <row r="210" spans="1:11" x14ac:dyDescent="0.2">
      <c r="A210" t="s">
        <v>226</v>
      </c>
      <c r="B210" t="s">
        <v>21</v>
      </c>
      <c r="C210" t="s">
        <v>18</v>
      </c>
      <c r="D210" t="s">
        <v>1038</v>
      </c>
      <c r="E210">
        <v>35</v>
      </c>
      <c r="F210">
        <v>433</v>
      </c>
      <c r="G210">
        <v>258.37</v>
      </c>
      <c r="H210">
        <v>4</v>
      </c>
      <c r="I210">
        <v>5</v>
      </c>
      <c r="J210">
        <v>4</v>
      </c>
      <c r="K210" cm="1">
        <f t="array" ref="K210">IF(COUNTA(_xlfn.UNIQUE(_xlfn._xlws.FILTER($C$2:$C$1001,$B$2:$B$1001=B210)))=1,1,0)</f>
        <v>0</v>
      </c>
    </row>
    <row r="211" spans="1:11" x14ac:dyDescent="0.2">
      <c r="A211" t="s">
        <v>227</v>
      </c>
      <c r="B211" t="s">
        <v>12</v>
      </c>
      <c r="C211" t="s">
        <v>13</v>
      </c>
      <c r="D211" t="s">
        <v>1036</v>
      </c>
      <c r="E211">
        <v>10</v>
      </c>
      <c r="F211">
        <v>205</v>
      </c>
      <c r="G211">
        <v>374.28</v>
      </c>
      <c r="H211">
        <v>4</v>
      </c>
      <c r="I211">
        <v>3</v>
      </c>
      <c r="J211">
        <v>5</v>
      </c>
      <c r="K211" cm="1">
        <f t="array" ref="K211">IF(COUNTA(_xlfn.UNIQUE(_xlfn._xlws.FILTER($C$2:$C$1001,$B$2:$B$1001=B211)))=1,1,0)</f>
        <v>0</v>
      </c>
    </row>
    <row r="212" spans="1:11" x14ac:dyDescent="0.2">
      <c r="A212" t="s">
        <v>228</v>
      </c>
      <c r="B212" t="s">
        <v>23</v>
      </c>
      <c r="C212" t="s">
        <v>18</v>
      </c>
      <c r="D212" t="s">
        <v>1039</v>
      </c>
      <c r="E212">
        <v>69</v>
      </c>
      <c r="F212">
        <v>450</v>
      </c>
      <c r="G212">
        <v>254.34</v>
      </c>
      <c r="H212">
        <v>5</v>
      </c>
      <c r="I212">
        <v>5</v>
      </c>
      <c r="J212">
        <v>5</v>
      </c>
      <c r="K212" cm="1">
        <f t="array" ref="K212">IF(COUNTA(_xlfn.UNIQUE(_xlfn._xlws.FILTER($C$2:$C$1001,$B$2:$B$1001=B212)))=1,1,0)</f>
        <v>0</v>
      </c>
    </row>
    <row r="213" spans="1:11" x14ac:dyDescent="0.2">
      <c r="A213" t="s">
        <v>229</v>
      </c>
      <c r="B213" t="s">
        <v>17</v>
      </c>
      <c r="C213" t="s">
        <v>28</v>
      </c>
      <c r="D213" t="s">
        <v>1043</v>
      </c>
      <c r="E213">
        <v>50</v>
      </c>
      <c r="F213">
        <v>135</v>
      </c>
      <c r="G213">
        <v>255.57</v>
      </c>
      <c r="H213">
        <v>4</v>
      </c>
      <c r="I213">
        <v>4</v>
      </c>
      <c r="J213">
        <v>5</v>
      </c>
      <c r="K213" cm="1">
        <f t="array" ref="K213">IF(COUNTA(_xlfn.UNIQUE(_xlfn._xlws.FILTER($C$2:$C$1001,$B$2:$B$1001=B213)))=1,1,0)</f>
        <v>0</v>
      </c>
    </row>
    <row r="214" spans="1:11" x14ac:dyDescent="0.2">
      <c r="A214" t="s">
        <v>230</v>
      </c>
      <c r="B214" t="s">
        <v>17</v>
      </c>
      <c r="C214" t="s">
        <v>18</v>
      </c>
      <c r="D214" t="s">
        <v>1037</v>
      </c>
      <c r="E214">
        <v>32</v>
      </c>
      <c r="F214">
        <v>240</v>
      </c>
      <c r="G214">
        <v>233.69</v>
      </c>
      <c r="H214">
        <v>4</v>
      </c>
      <c r="I214">
        <v>4</v>
      </c>
      <c r="J214">
        <v>4</v>
      </c>
      <c r="K214" cm="1">
        <f t="array" ref="K214">IF(COUNTA(_xlfn.UNIQUE(_xlfn._xlws.FILTER($C$2:$C$1001,$B$2:$B$1001=B214)))=1,1,0)</f>
        <v>0</v>
      </c>
    </row>
    <row r="215" spans="1:11" x14ac:dyDescent="0.2">
      <c r="A215" t="s">
        <v>231</v>
      </c>
      <c r="B215" t="s">
        <v>21</v>
      </c>
      <c r="C215" t="s">
        <v>18</v>
      </c>
      <c r="D215" t="s">
        <v>1038</v>
      </c>
      <c r="E215">
        <v>43</v>
      </c>
      <c r="F215">
        <v>732</v>
      </c>
      <c r="G215">
        <v>252.43</v>
      </c>
      <c r="H215">
        <v>4</v>
      </c>
      <c r="I215">
        <v>5</v>
      </c>
      <c r="J215">
        <v>4</v>
      </c>
      <c r="K215" cm="1">
        <f t="array" ref="K215">IF(COUNTA(_xlfn.UNIQUE(_xlfn._xlws.FILTER($C$2:$C$1001,$B$2:$B$1001=B215)))=1,1,0)</f>
        <v>0</v>
      </c>
    </row>
    <row r="216" spans="1:11" x14ac:dyDescent="0.2">
      <c r="A216" t="s">
        <v>232</v>
      </c>
      <c r="B216" t="s">
        <v>17</v>
      </c>
      <c r="C216" t="s">
        <v>13</v>
      </c>
      <c r="D216" t="s">
        <v>1045</v>
      </c>
      <c r="E216">
        <v>61</v>
      </c>
      <c r="F216">
        <v>159</v>
      </c>
      <c r="G216">
        <v>446.78</v>
      </c>
      <c r="H216">
        <v>5</v>
      </c>
      <c r="I216">
        <v>5</v>
      </c>
      <c r="J216">
        <v>4</v>
      </c>
      <c r="K216" cm="1">
        <f t="array" ref="K216">IF(COUNTA(_xlfn.UNIQUE(_xlfn._xlws.FILTER($C$2:$C$1001,$B$2:$B$1001=B216)))=1,1,0)</f>
        <v>0</v>
      </c>
    </row>
    <row r="217" spans="1:11" x14ac:dyDescent="0.2">
      <c r="A217" t="s">
        <v>233</v>
      </c>
      <c r="B217" t="s">
        <v>23</v>
      </c>
      <c r="C217" t="s">
        <v>18</v>
      </c>
      <c r="D217" t="s">
        <v>1039</v>
      </c>
      <c r="E217">
        <v>54</v>
      </c>
      <c r="F217">
        <v>207</v>
      </c>
      <c r="G217">
        <v>270.57</v>
      </c>
      <c r="H217">
        <v>3</v>
      </c>
      <c r="I217">
        <v>4</v>
      </c>
      <c r="J217">
        <v>5</v>
      </c>
      <c r="K217" cm="1">
        <f t="array" ref="K217">IF(COUNTA(_xlfn.UNIQUE(_xlfn._xlws.FILTER($C$2:$C$1001,$B$2:$B$1001=B217)))=1,1,0)</f>
        <v>0</v>
      </c>
    </row>
    <row r="218" spans="1:11" x14ac:dyDescent="0.2">
      <c r="A218" t="s">
        <v>234</v>
      </c>
      <c r="B218" t="s">
        <v>21</v>
      </c>
      <c r="C218" t="s">
        <v>13</v>
      </c>
      <c r="D218" t="s">
        <v>1040</v>
      </c>
      <c r="E218">
        <v>63</v>
      </c>
      <c r="F218">
        <v>259</v>
      </c>
      <c r="G218">
        <v>382.13</v>
      </c>
      <c r="H218">
        <v>3</v>
      </c>
      <c r="I218">
        <v>3</v>
      </c>
      <c r="J218">
        <v>4</v>
      </c>
      <c r="K218" cm="1">
        <f t="array" ref="K218">IF(COUNTA(_xlfn.UNIQUE(_xlfn._xlws.FILTER($C$2:$C$1001,$B$2:$B$1001=B218)))=1,1,0)</f>
        <v>0</v>
      </c>
    </row>
    <row r="219" spans="1:11" x14ac:dyDescent="0.2">
      <c r="A219" t="s">
        <v>235</v>
      </c>
      <c r="B219" t="s">
        <v>23</v>
      </c>
      <c r="C219" t="s">
        <v>13</v>
      </c>
      <c r="D219" t="s">
        <v>1041</v>
      </c>
      <c r="E219">
        <v>45</v>
      </c>
      <c r="F219">
        <v>362</v>
      </c>
      <c r="G219">
        <v>282.36</v>
      </c>
      <c r="H219">
        <v>4</v>
      </c>
      <c r="I219">
        <v>4</v>
      </c>
      <c r="J219">
        <v>4</v>
      </c>
      <c r="K219" cm="1">
        <f t="array" ref="K219">IF(COUNTA(_xlfn.UNIQUE(_xlfn._xlws.FILTER($C$2:$C$1001,$B$2:$B$1001=B219)))=1,1,0)</f>
        <v>0</v>
      </c>
    </row>
    <row r="220" spans="1:11" x14ac:dyDescent="0.2">
      <c r="A220" t="s">
        <v>236</v>
      </c>
      <c r="B220" t="s">
        <v>21</v>
      </c>
      <c r="C220" t="s">
        <v>13</v>
      </c>
      <c r="D220" t="s">
        <v>1040</v>
      </c>
      <c r="E220">
        <v>38</v>
      </c>
      <c r="F220">
        <v>799</v>
      </c>
      <c r="G220">
        <v>497.38</v>
      </c>
      <c r="H220">
        <v>4</v>
      </c>
      <c r="I220">
        <v>4</v>
      </c>
      <c r="J220">
        <v>5</v>
      </c>
      <c r="K220" cm="1">
        <f t="array" ref="K220">IF(COUNTA(_xlfn.UNIQUE(_xlfn._xlws.FILTER($C$2:$C$1001,$B$2:$B$1001=B220)))=1,1,0)</f>
        <v>0</v>
      </c>
    </row>
    <row r="221" spans="1:11" x14ac:dyDescent="0.2">
      <c r="A221" t="s">
        <v>237</v>
      </c>
      <c r="B221" t="s">
        <v>12</v>
      </c>
      <c r="C221" t="s">
        <v>18</v>
      </c>
      <c r="D221" t="s">
        <v>1047</v>
      </c>
      <c r="E221">
        <v>76</v>
      </c>
      <c r="F221">
        <v>840</v>
      </c>
      <c r="G221">
        <v>279.47000000000003</v>
      </c>
      <c r="H221">
        <v>3</v>
      </c>
      <c r="I221">
        <v>5</v>
      </c>
      <c r="J221">
        <v>4</v>
      </c>
      <c r="K221" cm="1">
        <f t="array" ref="K221">IF(COUNTA(_xlfn.UNIQUE(_xlfn._xlws.FILTER($C$2:$C$1001,$B$2:$B$1001=B221)))=1,1,0)</f>
        <v>0</v>
      </c>
    </row>
    <row r="222" spans="1:11" x14ac:dyDescent="0.2">
      <c r="A222" t="s">
        <v>238</v>
      </c>
      <c r="B222" t="s">
        <v>21</v>
      </c>
      <c r="C222" t="s">
        <v>28</v>
      </c>
      <c r="D222" t="s">
        <v>1044</v>
      </c>
      <c r="E222">
        <v>78</v>
      </c>
      <c r="F222">
        <v>927</v>
      </c>
      <c r="G222">
        <v>332.72</v>
      </c>
      <c r="H222">
        <v>3</v>
      </c>
      <c r="I222">
        <v>5</v>
      </c>
      <c r="J222">
        <v>5</v>
      </c>
      <c r="K222" cm="1">
        <f t="array" ref="K222">IF(COUNTA(_xlfn.UNIQUE(_xlfn._xlws.FILTER($C$2:$C$1001,$B$2:$B$1001=B222)))=1,1,0)</f>
        <v>0</v>
      </c>
    </row>
    <row r="223" spans="1:11" x14ac:dyDescent="0.2">
      <c r="A223" t="s">
        <v>239</v>
      </c>
      <c r="B223" t="s">
        <v>23</v>
      </c>
      <c r="C223" t="s">
        <v>13</v>
      </c>
      <c r="D223" t="s">
        <v>1041</v>
      </c>
      <c r="E223">
        <v>87</v>
      </c>
      <c r="F223">
        <v>157</v>
      </c>
      <c r="G223">
        <v>269.25</v>
      </c>
      <c r="H223">
        <v>5</v>
      </c>
      <c r="I223">
        <v>5</v>
      </c>
      <c r="J223">
        <v>4</v>
      </c>
      <c r="K223" cm="1">
        <f t="array" ref="K223">IF(COUNTA(_xlfn.UNIQUE(_xlfn._xlws.FILTER($C$2:$C$1001,$B$2:$B$1001=B223)))=1,1,0)</f>
        <v>0</v>
      </c>
    </row>
    <row r="224" spans="1:11" x14ac:dyDescent="0.2">
      <c r="A224" t="s">
        <v>240</v>
      </c>
      <c r="B224" t="s">
        <v>12</v>
      </c>
      <c r="C224" t="s">
        <v>18</v>
      </c>
      <c r="D224" t="s">
        <v>1047</v>
      </c>
      <c r="E224">
        <v>37</v>
      </c>
      <c r="F224">
        <v>363</v>
      </c>
      <c r="G224">
        <v>339.56</v>
      </c>
      <c r="H224">
        <v>4</v>
      </c>
      <c r="I224">
        <v>3</v>
      </c>
      <c r="J224">
        <v>5</v>
      </c>
      <c r="K224" cm="1">
        <f t="array" ref="K224">IF(COUNTA(_xlfn.UNIQUE(_xlfn._xlws.FILTER($C$2:$C$1001,$B$2:$B$1001=B224)))=1,1,0)</f>
        <v>0</v>
      </c>
    </row>
    <row r="225" spans="1:11" x14ac:dyDescent="0.2">
      <c r="A225" t="s">
        <v>241</v>
      </c>
      <c r="B225" t="s">
        <v>12</v>
      </c>
      <c r="C225" t="s">
        <v>18</v>
      </c>
      <c r="D225" t="s">
        <v>1047</v>
      </c>
      <c r="E225">
        <v>29</v>
      </c>
      <c r="F225">
        <v>545</v>
      </c>
      <c r="G225">
        <v>360.75</v>
      </c>
      <c r="H225">
        <v>5</v>
      </c>
      <c r="I225">
        <v>4</v>
      </c>
      <c r="J225">
        <v>5</v>
      </c>
      <c r="K225" cm="1">
        <f t="array" ref="K225">IF(COUNTA(_xlfn.UNIQUE(_xlfn._xlws.FILTER($C$2:$C$1001,$B$2:$B$1001=B225)))=1,1,0)</f>
        <v>0</v>
      </c>
    </row>
    <row r="226" spans="1:11" x14ac:dyDescent="0.2">
      <c r="A226" t="s">
        <v>242</v>
      </c>
      <c r="B226" t="s">
        <v>17</v>
      </c>
      <c r="C226" t="s">
        <v>18</v>
      </c>
      <c r="D226" t="s">
        <v>1037</v>
      </c>
      <c r="E226">
        <v>76</v>
      </c>
      <c r="F226">
        <v>971</v>
      </c>
      <c r="G226">
        <v>206.01</v>
      </c>
      <c r="H226">
        <v>4</v>
      </c>
      <c r="I226">
        <v>4</v>
      </c>
      <c r="J226">
        <v>5</v>
      </c>
      <c r="K226" cm="1">
        <f t="array" ref="K226">IF(COUNTA(_xlfn.UNIQUE(_xlfn._xlws.FILTER($C$2:$C$1001,$B$2:$B$1001=B226)))=1,1,0)</f>
        <v>0</v>
      </c>
    </row>
    <row r="227" spans="1:11" x14ac:dyDescent="0.2">
      <c r="A227" t="s">
        <v>243</v>
      </c>
      <c r="B227" t="s">
        <v>23</v>
      </c>
      <c r="C227" t="s">
        <v>13</v>
      </c>
      <c r="D227" t="s">
        <v>1041</v>
      </c>
      <c r="E227">
        <v>20</v>
      </c>
      <c r="F227">
        <v>260</v>
      </c>
      <c r="G227">
        <v>426.58</v>
      </c>
      <c r="H227">
        <v>5</v>
      </c>
      <c r="I227">
        <v>4</v>
      </c>
      <c r="J227">
        <v>4</v>
      </c>
      <c r="K227" cm="1">
        <f t="array" ref="K227">IF(COUNTA(_xlfn.UNIQUE(_xlfn._xlws.FILTER($C$2:$C$1001,$B$2:$B$1001=B227)))=1,1,0)</f>
        <v>0</v>
      </c>
    </row>
    <row r="228" spans="1:11" x14ac:dyDescent="0.2">
      <c r="A228" t="s">
        <v>244</v>
      </c>
      <c r="B228" t="s">
        <v>17</v>
      </c>
      <c r="C228" t="s">
        <v>28</v>
      </c>
      <c r="D228" t="s">
        <v>1043</v>
      </c>
      <c r="E228">
        <v>71</v>
      </c>
      <c r="F228">
        <v>677</v>
      </c>
      <c r="G228">
        <v>278.93</v>
      </c>
      <c r="H228">
        <v>3</v>
      </c>
      <c r="I228">
        <v>3</v>
      </c>
      <c r="J228">
        <v>4</v>
      </c>
      <c r="K228" cm="1">
        <f t="array" ref="K228">IF(COUNTA(_xlfn.UNIQUE(_xlfn._xlws.FILTER($C$2:$C$1001,$B$2:$B$1001=B228)))=1,1,0)</f>
        <v>0</v>
      </c>
    </row>
    <row r="229" spans="1:11" x14ac:dyDescent="0.2">
      <c r="A229" t="s">
        <v>245</v>
      </c>
      <c r="B229" t="s">
        <v>12</v>
      </c>
      <c r="C229" t="s">
        <v>13</v>
      </c>
      <c r="D229" t="s">
        <v>1036</v>
      </c>
      <c r="E229">
        <v>49</v>
      </c>
      <c r="F229">
        <v>765</v>
      </c>
      <c r="G229">
        <v>283.91000000000003</v>
      </c>
      <c r="H229">
        <v>5</v>
      </c>
      <c r="I229">
        <v>5</v>
      </c>
      <c r="J229">
        <v>5</v>
      </c>
      <c r="K229" cm="1">
        <f t="array" ref="K229">IF(COUNTA(_xlfn.UNIQUE(_xlfn._xlws.FILTER($C$2:$C$1001,$B$2:$B$1001=B229)))=1,1,0)</f>
        <v>0</v>
      </c>
    </row>
    <row r="230" spans="1:11" x14ac:dyDescent="0.2">
      <c r="A230" t="s">
        <v>246</v>
      </c>
      <c r="B230" t="s">
        <v>12</v>
      </c>
      <c r="C230" t="s">
        <v>13</v>
      </c>
      <c r="D230" t="s">
        <v>1036</v>
      </c>
      <c r="E230">
        <v>51</v>
      </c>
      <c r="F230">
        <v>589</v>
      </c>
      <c r="G230">
        <v>455.43</v>
      </c>
      <c r="H230">
        <v>5</v>
      </c>
      <c r="I230">
        <v>5</v>
      </c>
      <c r="J230">
        <v>5</v>
      </c>
      <c r="K230" cm="1">
        <f t="array" ref="K230">IF(COUNTA(_xlfn.UNIQUE(_xlfn._xlws.FILTER($C$2:$C$1001,$B$2:$B$1001=B230)))=1,1,0)</f>
        <v>0</v>
      </c>
    </row>
    <row r="231" spans="1:11" x14ac:dyDescent="0.2">
      <c r="A231" t="s">
        <v>247</v>
      </c>
      <c r="B231" t="s">
        <v>12</v>
      </c>
      <c r="C231" t="s">
        <v>28</v>
      </c>
      <c r="D231" t="s">
        <v>1042</v>
      </c>
      <c r="E231">
        <v>21</v>
      </c>
      <c r="F231">
        <v>561</v>
      </c>
      <c r="G231">
        <v>359.74</v>
      </c>
      <c r="H231">
        <v>5</v>
      </c>
      <c r="I231">
        <v>4</v>
      </c>
      <c r="J231">
        <v>5</v>
      </c>
      <c r="K231" cm="1">
        <f t="array" ref="K231">IF(COUNTA(_xlfn.UNIQUE(_xlfn._xlws.FILTER($C$2:$C$1001,$B$2:$B$1001=B231)))=1,1,0)</f>
        <v>0</v>
      </c>
    </row>
    <row r="232" spans="1:11" x14ac:dyDescent="0.2">
      <c r="A232" t="s">
        <v>248</v>
      </c>
      <c r="B232" t="s">
        <v>21</v>
      </c>
      <c r="C232" t="s">
        <v>13</v>
      </c>
      <c r="D232" t="s">
        <v>1040</v>
      </c>
      <c r="E232">
        <v>31</v>
      </c>
      <c r="F232">
        <v>565</v>
      </c>
      <c r="G232">
        <v>246.14</v>
      </c>
      <c r="H232">
        <v>3</v>
      </c>
      <c r="I232">
        <v>5</v>
      </c>
      <c r="J232">
        <v>5</v>
      </c>
      <c r="K232" cm="1">
        <f t="array" ref="K232">IF(COUNTA(_xlfn.UNIQUE(_xlfn._xlws.FILTER($C$2:$C$1001,$B$2:$B$1001=B232)))=1,1,0)</f>
        <v>0</v>
      </c>
    </row>
    <row r="233" spans="1:11" x14ac:dyDescent="0.2">
      <c r="A233" t="s">
        <v>249</v>
      </c>
      <c r="B233" t="s">
        <v>21</v>
      </c>
      <c r="C233" t="s">
        <v>13</v>
      </c>
      <c r="D233" t="s">
        <v>1040</v>
      </c>
      <c r="E233">
        <v>58</v>
      </c>
      <c r="F233">
        <v>881</v>
      </c>
      <c r="G233">
        <v>476.83</v>
      </c>
      <c r="H233">
        <v>5</v>
      </c>
      <c r="I233">
        <v>3</v>
      </c>
      <c r="J233">
        <v>4</v>
      </c>
      <c r="K233" cm="1">
        <f t="array" ref="K233">IF(COUNTA(_xlfn.UNIQUE(_xlfn._xlws.FILTER($C$2:$C$1001,$B$2:$B$1001=B233)))=1,1,0)</f>
        <v>0</v>
      </c>
    </row>
    <row r="234" spans="1:11" x14ac:dyDescent="0.2">
      <c r="A234" t="s">
        <v>250</v>
      </c>
      <c r="B234" t="s">
        <v>12</v>
      </c>
      <c r="C234" t="s">
        <v>18</v>
      </c>
      <c r="D234" t="s">
        <v>1047</v>
      </c>
      <c r="E234">
        <v>85</v>
      </c>
      <c r="F234">
        <v>752</v>
      </c>
      <c r="G234">
        <v>447.56</v>
      </c>
      <c r="H234">
        <v>4</v>
      </c>
      <c r="I234">
        <v>3</v>
      </c>
      <c r="J234">
        <v>4</v>
      </c>
      <c r="K234" cm="1">
        <f t="array" ref="K234">IF(COUNTA(_xlfn.UNIQUE(_xlfn._xlws.FILTER($C$2:$C$1001,$B$2:$B$1001=B234)))=1,1,0)</f>
        <v>0</v>
      </c>
    </row>
    <row r="235" spans="1:11" x14ac:dyDescent="0.2">
      <c r="A235" t="s">
        <v>251</v>
      </c>
      <c r="B235" t="s">
        <v>17</v>
      </c>
      <c r="C235" t="s">
        <v>28</v>
      </c>
      <c r="D235" t="s">
        <v>1043</v>
      </c>
      <c r="E235">
        <v>66</v>
      </c>
      <c r="F235">
        <v>227</v>
      </c>
      <c r="G235">
        <v>433.02</v>
      </c>
      <c r="H235">
        <v>4</v>
      </c>
      <c r="I235">
        <v>5</v>
      </c>
      <c r="J235">
        <v>5</v>
      </c>
      <c r="K235" cm="1">
        <f t="array" ref="K235">IF(COUNTA(_xlfn.UNIQUE(_xlfn._xlws.FILTER($C$2:$C$1001,$B$2:$B$1001=B235)))=1,1,0)</f>
        <v>0</v>
      </c>
    </row>
    <row r="236" spans="1:11" x14ac:dyDescent="0.2">
      <c r="A236" t="s">
        <v>252</v>
      </c>
      <c r="B236" t="s">
        <v>12</v>
      </c>
      <c r="C236" t="s">
        <v>28</v>
      </c>
      <c r="D236" t="s">
        <v>1042</v>
      </c>
      <c r="E236">
        <v>11</v>
      </c>
      <c r="F236">
        <v>353</v>
      </c>
      <c r="G236">
        <v>264.81</v>
      </c>
      <c r="H236">
        <v>5</v>
      </c>
      <c r="I236">
        <v>5</v>
      </c>
      <c r="J236">
        <v>5</v>
      </c>
      <c r="K236" cm="1">
        <f t="array" ref="K236">IF(COUNTA(_xlfn.UNIQUE(_xlfn._xlws.FILTER($C$2:$C$1001,$B$2:$B$1001=B236)))=1,1,0)</f>
        <v>0</v>
      </c>
    </row>
    <row r="237" spans="1:11" x14ac:dyDescent="0.2">
      <c r="A237" t="s">
        <v>253</v>
      </c>
      <c r="B237" t="s">
        <v>12</v>
      </c>
      <c r="C237" t="s">
        <v>28</v>
      </c>
      <c r="D237" t="s">
        <v>1042</v>
      </c>
      <c r="E237">
        <v>89</v>
      </c>
      <c r="F237">
        <v>481</v>
      </c>
      <c r="G237">
        <v>263.52999999999997</v>
      </c>
      <c r="H237">
        <v>5</v>
      </c>
      <c r="I237">
        <v>4</v>
      </c>
      <c r="J237">
        <v>4</v>
      </c>
      <c r="K237" cm="1">
        <f t="array" ref="K237">IF(COUNTA(_xlfn.UNIQUE(_xlfn._xlws.FILTER($C$2:$C$1001,$B$2:$B$1001=B237)))=1,1,0)</f>
        <v>0</v>
      </c>
    </row>
    <row r="238" spans="1:11" x14ac:dyDescent="0.2">
      <c r="A238" t="s">
        <v>254</v>
      </c>
      <c r="B238" t="s">
        <v>21</v>
      </c>
      <c r="C238" t="s">
        <v>18</v>
      </c>
      <c r="D238" t="s">
        <v>1038</v>
      </c>
      <c r="E238">
        <v>58</v>
      </c>
      <c r="F238">
        <v>289</v>
      </c>
      <c r="G238">
        <v>236.42</v>
      </c>
      <c r="H238">
        <v>5</v>
      </c>
      <c r="I238">
        <v>3</v>
      </c>
      <c r="J238">
        <v>5</v>
      </c>
      <c r="K238" cm="1">
        <f t="array" ref="K238">IF(COUNTA(_xlfn.UNIQUE(_xlfn._xlws.FILTER($C$2:$C$1001,$B$2:$B$1001=B238)))=1,1,0)</f>
        <v>0</v>
      </c>
    </row>
    <row r="239" spans="1:11" x14ac:dyDescent="0.2">
      <c r="A239" t="s">
        <v>255</v>
      </c>
      <c r="B239" t="s">
        <v>21</v>
      </c>
      <c r="C239" t="s">
        <v>28</v>
      </c>
      <c r="D239" t="s">
        <v>1044</v>
      </c>
      <c r="E239">
        <v>13</v>
      </c>
      <c r="F239">
        <v>330</v>
      </c>
      <c r="G239">
        <v>358.11</v>
      </c>
      <c r="H239">
        <v>5</v>
      </c>
      <c r="I239">
        <v>4</v>
      </c>
      <c r="J239">
        <v>5</v>
      </c>
      <c r="K239" cm="1">
        <f t="array" ref="K239">IF(COUNTA(_xlfn.UNIQUE(_xlfn._xlws.FILTER($C$2:$C$1001,$B$2:$B$1001=B239)))=1,1,0)</f>
        <v>0</v>
      </c>
    </row>
    <row r="240" spans="1:11" x14ac:dyDescent="0.2">
      <c r="A240" t="s">
        <v>256</v>
      </c>
      <c r="B240" t="s">
        <v>12</v>
      </c>
      <c r="C240" t="s">
        <v>13</v>
      </c>
      <c r="D240" t="s">
        <v>1036</v>
      </c>
      <c r="E240">
        <v>68</v>
      </c>
      <c r="F240">
        <v>840</v>
      </c>
      <c r="G240">
        <v>448.26</v>
      </c>
      <c r="H240">
        <v>5</v>
      </c>
      <c r="I240">
        <v>5</v>
      </c>
      <c r="J240">
        <v>4</v>
      </c>
      <c r="K240" cm="1">
        <f t="array" ref="K240">IF(COUNTA(_xlfn.UNIQUE(_xlfn._xlws.FILTER($C$2:$C$1001,$B$2:$B$1001=B240)))=1,1,0)</f>
        <v>0</v>
      </c>
    </row>
    <row r="241" spans="1:11" x14ac:dyDescent="0.2">
      <c r="A241" t="s">
        <v>257</v>
      </c>
      <c r="B241" t="s">
        <v>12</v>
      </c>
      <c r="C241" t="s">
        <v>28</v>
      </c>
      <c r="D241" t="s">
        <v>1042</v>
      </c>
      <c r="E241">
        <v>19</v>
      </c>
      <c r="F241">
        <v>760</v>
      </c>
      <c r="G241">
        <v>437.1</v>
      </c>
      <c r="H241">
        <v>3</v>
      </c>
      <c r="I241">
        <v>4</v>
      </c>
      <c r="J241">
        <v>5</v>
      </c>
      <c r="K241" cm="1">
        <f t="array" ref="K241">IF(COUNTA(_xlfn.UNIQUE(_xlfn._xlws.FILTER($C$2:$C$1001,$B$2:$B$1001=B241)))=1,1,0)</f>
        <v>0</v>
      </c>
    </row>
    <row r="242" spans="1:11" x14ac:dyDescent="0.2">
      <c r="A242" t="s">
        <v>258</v>
      </c>
      <c r="B242" t="s">
        <v>21</v>
      </c>
      <c r="C242" t="s">
        <v>18</v>
      </c>
      <c r="D242" t="s">
        <v>1038</v>
      </c>
      <c r="E242">
        <v>66</v>
      </c>
      <c r="F242">
        <v>792</v>
      </c>
      <c r="G242">
        <v>388.79</v>
      </c>
      <c r="H242">
        <v>5</v>
      </c>
      <c r="I242">
        <v>4</v>
      </c>
      <c r="J242">
        <v>5</v>
      </c>
      <c r="K242" cm="1">
        <f t="array" ref="K242">IF(COUNTA(_xlfn.UNIQUE(_xlfn._xlws.FILTER($C$2:$C$1001,$B$2:$B$1001=B242)))=1,1,0)</f>
        <v>0</v>
      </c>
    </row>
    <row r="243" spans="1:11" x14ac:dyDescent="0.2">
      <c r="A243" t="s">
        <v>259</v>
      </c>
      <c r="B243" t="s">
        <v>12</v>
      </c>
      <c r="C243" t="s">
        <v>13</v>
      </c>
      <c r="D243" t="s">
        <v>1036</v>
      </c>
      <c r="E243">
        <v>58</v>
      </c>
      <c r="F243">
        <v>282</v>
      </c>
      <c r="G243">
        <v>453.31</v>
      </c>
      <c r="H243">
        <v>4</v>
      </c>
      <c r="I243">
        <v>5</v>
      </c>
      <c r="J243">
        <v>4</v>
      </c>
      <c r="K243" cm="1">
        <f t="array" ref="K243">IF(COUNTA(_xlfn.UNIQUE(_xlfn._xlws.FILTER($C$2:$C$1001,$B$2:$B$1001=B243)))=1,1,0)</f>
        <v>0</v>
      </c>
    </row>
    <row r="244" spans="1:11" x14ac:dyDescent="0.2">
      <c r="A244" t="s">
        <v>260</v>
      </c>
      <c r="B244" t="s">
        <v>21</v>
      </c>
      <c r="C244" t="s">
        <v>18</v>
      </c>
      <c r="D244" t="s">
        <v>1038</v>
      </c>
      <c r="E244">
        <v>7</v>
      </c>
      <c r="F244">
        <v>496</v>
      </c>
      <c r="G244">
        <v>435.5</v>
      </c>
      <c r="H244">
        <v>4</v>
      </c>
      <c r="I244">
        <v>4</v>
      </c>
      <c r="J244">
        <v>4</v>
      </c>
      <c r="K244" cm="1">
        <f t="array" ref="K244">IF(COUNTA(_xlfn.UNIQUE(_xlfn._xlws.FILTER($C$2:$C$1001,$B$2:$B$1001=B244)))=1,1,0)</f>
        <v>0</v>
      </c>
    </row>
    <row r="245" spans="1:11" x14ac:dyDescent="0.2">
      <c r="A245" t="s">
        <v>261</v>
      </c>
      <c r="B245" t="s">
        <v>23</v>
      </c>
      <c r="C245" t="s">
        <v>18</v>
      </c>
      <c r="D245" t="s">
        <v>1039</v>
      </c>
      <c r="E245">
        <v>40</v>
      </c>
      <c r="F245">
        <v>109</v>
      </c>
      <c r="G245">
        <v>276.39999999999998</v>
      </c>
      <c r="H245">
        <v>5</v>
      </c>
      <c r="I245">
        <v>5</v>
      </c>
      <c r="J245">
        <v>5</v>
      </c>
      <c r="K245" cm="1">
        <f t="array" ref="K245">IF(COUNTA(_xlfn.UNIQUE(_xlfn._xlws.FILTER($C$2:$C$1001,$B$2:$B$1001=B245)))=1,1,0)</f>
        <v>0</v>
      </c>
    </row>
    <row r="246" spans="1:11" x14ac:dyDescent="0.2">
      <c r="A246" t="s">
        <v>262</v>
      </c>
      <c r="B246" t="s">
        <v>17</v>
      </c>
      <c r="C246" t="s">
        <v>18</v>
      </c>
      <c r="D246" t="s">
        <v>1037</v>
      </c>
      <c r="E246">
        <v>38</v>
      </c>
      <c r="F246">
        <v>178</v>
      </c>
      <c r="G246">
        <v>391</v>
      </c>
      <c r="H246">
        <v>5</v>
      </c>
      <c r="I246">
        <v>4</v>
      </c>
      <c r="J246">
        <v>4</v>
      </c>
      <c r="K246" cm="1">
        <f t="array" ref="K246">IF(COUNTA(_xlfn.UNIQUE(_xlfn._xlws.FILTER($C$2:$C$1001,$B$2:$B$1001=B246)))=1,1,0)</f>
        <v>0</v>
      </c>
    </row>
    <row r="247" spans="1:11" x14ac:dyDescent="0.2">
      <c r="A247" t="s">
        <v>263</v>
      </c>
      <c r="B247" t="s">
        <v>17</v>
      </c>
      <c r="C247" t="s">
        <v>28</v>
      </c>
      <c r="D247" t="s">
        <v>1043</v>
      </c>
      <c r="E247">
        <v>57</v>
      </c>
      <c r="F247">
        <v>944</v>
      </c>
      <c r="G247">
        <v>404.07</v>
      </c>
      <c r="H247">
        <v>3</v>
      </c>
      <c r="I247">
        <v>3</v>
      </c>
      <c r="J247">
        <v>5</v>
      </c>
      <c r="K247" cm="1">
        <f t="array" ref="K247">IF(COUNTA(_xlfn.UNIQUE(_xlfn._xlws.FILTER($C$2:$C$1001,$B$2:$B$1001=B247)))=1,1,0)</f>
        <v>0</v>
      </c>
    </row>
    <row r="248" spans="1:11" x14ac:dyDescent="0.2">
      <c r="A248" t="s">
        <v>264</v>
      </c>
      <c r="B248" t="s">
        <v>17</v>
      </c>
      <c r="C248" t="s">
        <v>28</v>
      </c>
      <c r="D248" t="s">
        <v>1043</v>
      </c>
      <c r="E248">
        <v>58</v>
      </c>
      <c r="F248">
        <v>247</v>
      </c>
      <c r="G248">
        <v>210.67</v>
      </c>
      <c r="H248">
        <v>4</v>
      </c>
      <c r="I248">
        <v>5</v>
      </c>
      <c r="J248">
        <v>4</v>
      </c>
      <c r="K248" cm="1">
        <f t="array" ref="K248">IF(COUNTA(_xlfn.UNIQUE(_xlfn._xlws.FILTER($C$2:$C$1001,$B$2:$B$1001=B248)))=1,1,0)</f>
        <v>0</v>
      </c>
    </row>
    <row r="249" spans="1:11" x14ac:dyDescent="0.2">
      <c r="A249" t="s">
        <v>265</v>
      </c>
      <c r="B249" t="s">
        <v>12</v>
      </c>
      <c r="C249" t="s">
        <v>18</v>
      </c>
      <c r="D249" t="s">
        <v>1047</v>
      </c>
      <c r="E249">
        <v>14</v>
      </c>
      <c r="F249">
        <v>662</v>
      </c>
      <c r="G249">
        <v>435.15</v>
      </c>
      <c r="H249">
        <v>4</v>
      </c>
      <c r="I249">
        <v>4</v>
      </c>
      <c r="J249">
        <v>4</v>
      </c>
      <c r="K249" cm="1">
        <f t="array" ref="K249">IF(COUNTA(_xlfn.UNIQUE(_xlfn._xlws.FILTER($C$2:$C$1001,$B$2:$B$1001=B249)))=1,1,0)</f>
        <v>0</v>
      </c>
    </row>
    <row r="250" spans="1:11" x14ac:dyDescent="0.2">
      <c r="A250" t="s">
        <v>266</v>
      </c>
      <c r="B250" t="s">
        <v>17</v>
      </c>
      <c r="C250" t="s">
        <v>18</v>
      </c>
      <c r="D250" t="s">
        <v>1037</v>
      </c>
      <c r="E250">
        <v>85</v>
      </c>
      <c r="F250">
        <v>467</v>
      </c>
      <c r="G250">
        <v>224.79</v>
      </c>
      <c r="H250">
        <v>4</v>
      </c>
      <c r="I250">
        <v>5</v>
      </c>
      <c r="J250">
        <v>5</v>
      </c>
      <c r="K250" cm="1">
        <f t="array" ref="K250">IF(COUNTA(_xlfn.UNIQUE(_xlfn._xlws.FILTER($C$2:$C$1001,$B$2:$B$1001=B250)))=1,1,0)</f>
        <v>0</v>
      </c>
    </row>
    <row r="251" spans="1:11" x14ac:dyDescent="0.2">
      <c r="A251" t="s">
        <v>267</v>
      </c>
      <c r="B251" t="s">
        <v>23</v>
      </c>
      <c r="C251" t="s">
        <v>18</v>
      </c>
      <c r="D251" t="s">
        <v>1039</v>
      </c>
      <c r="E251">
        <v>68</v>
      </c>
      <c r="F251">
        <v>935</v>
      </c>
      <c r="G251">
        <v>276.62</v>
      </c>
      <c r="H251">
        <v>4</v>
      </c>
      <c r="I251">
        <v>5</v>
      </c>
      <c r="J251">
        <v>5</v>
      </c>
      <c r="K251" cm="1">
        <f t="array" ref="K251">IF(COUNTA(_xlfn.UNIQUE(_xlfn._xlws.FILTER($C$2:$C$1001,$B$2:$B$1001=B251)))=1,1,0)</f>
        <v>0</v>
      </c>
    </row>
    <row r="252" spans="1:11" x14ac:dyDescent="0.2">
      <c r="A252" t="s">
        <v>268</v>
      </c>
      <c r="B252" t="s">
        <v>12</v>
      </c>
      <c r="C252" t="s">
        <v>13</v>
      </c>
      <c r="D252" t="s">
        <v>1036</v>
      </c>
      <c r="E252">
        <v>38</v>
      </c>
      <c r="F252">
        <v>751</v>
      </c>
      <c r="G252">
        <v>439.61</v>
      </c>
      <c r="H252">
        <v>4</v>
      </c>
      <c r="I252">
        <v>4</v>
      </c>
      <c r="J252">
        <v>4</v>
      </c>
      <c r="K252" cm="1">
        <f t="array" ref="K252">IF(COUNTA(_xlfn.UNIQUE(_xlfn._xlws.FILTER($C$2:$C$1001,$B$2:$B$1001=B252)))=1,1,0)</f>
        <v>0</v>
      </c>
    </row>
    <row r="253" spans="1:11" x14ac:dyDescent="0.2">
      <c r="A253" t="s">
        <v>269</v>
      </c>
      <c r="B253" t="s">
        <v>270</v>
      </c>
      <c r="C253" t="s">
        <v>18</v>
      </c>
      <c r="D253" t="s">
        <v>1048</v>
      </c>
      <c r="E253">
        <v>79</v>
      </c>
      <c r="F253">
        <v>275</v>
      </c>
      <c r="G253">
        <v>223.3</v>
      </c>
      <c r="H253">
        <v>5</v>
      </c>
      <c r="I253">
        <v>3</v>
      </c>
      <c r="J253">
        <v>3</v>
      </c>
      <c r="K253" cm="1">
        <f t="array" ref="K253">IF(COUNTA(_xlfn.UNIQUE(_xlfn._xlws.FILTER($C$2:$C$1001,$B$2:$B$1001=B253)))=1,1,0)</f>
        <v>0</v>
      </c>
    </row>
    <row r="254" spans="1:11" x14ac:dyDescent="0.2">
      <c r="A254" t="s">
        <v>272</v>
      </c>
      <c r="B254" t="s">
        <v>273</v>
      </c>
      <c r="C254" t="s">
        <v>274</v>
      </c>
      <c r="D254" t="s">
        <v>1049</v>
      </c>
      <c r="E254">
        <v>52</v>
      </c>
      <c r="F254">
        <v>163</v>
      </c>
      <c r="G254">
        <v>210.02</v>
      </c>
      <c r="H254">
        <v>4</v>
      </c>
      <c r="I254">
        <v>2</v>
      </c>
      <c r="J254">
        <v>4</v>
      </c>
      <c r="K254" cm="1">
        <f t="array" ref="K254">IF(COUNTA(_xlfn.UNIQUE(_xlfn._xlws.FILTER($C$2:$C$1001,$B$2:$B$1001=B254)))=1,1,0)</f>
        <v>0</v>
      </c>
    </row>
    <row r="255" spans="1:11" x14ac:dyDescent="0.2">
      <c r="A255" t="s">
        <v>275</v>
      </c>
      <c r="B255" t="s">
        <v>273</v>
      </c>
      <c r="C255" t="s">
        <v>18</v>
      </c>
      <c r="D255" t="s">
        <v>1050</v>
      </c>
      <c r="E255">
        <v>24</v>
      </c>
      <c r="F255">
        <v>81</v>
      </c>
      <c r="G255">
        <v>157.18</v>
      </c>
      <c r="H255">
        <v>4</v>
      </c>
      <c r="I255">
        <v>2</v>
      </c>
      <c r="J255">
        <v>4</v>
      </c>
      <c r="K255" cm="1">
        <f t="array" ref="K255">IF(COUNTA(_xlfn.UNIQUE(_xlfn._xlws.FILTER($C$2:$C$1001,$B$2:$B$1001=B255)))=1,1,0)</f>
        <v>0</v>
      </c>
    </row>
    <row r="256" spans="1:11" x14ac:dyDescent="0.2">
      <c r="A256" t="s">
        <v>276</v>
      </c>
      <c r="B256" t="s">
        <v>273</v>
      </c>
      <c r="C256" t="s">
        <v>18</v>
      </c>
      <c r="D256" t="s">
        <v>1050</v>
      </c>
      <c r="E256">
        <v>28</v>
      </c>
      <c r="F256">
        <v>441</v>
      </c>
      <c r="G256">
        <v>192.11</v>
      </c>
      <c r="H256">
        <v>5</v>
      </c>
      <c r="I256">
        <v>3</v>
      </c>
      <c r="J256">
        <v>4</v>
      </c>
      <c r="K256" cm="1">
        <f t="array" ref="K256">IF(COUNTA(_xlfn.UNIQUE(_xlfn._xlws.FILTER($C$2:$C$1001,$B$2:$B$1001=B256)))=1,1,0)</f>
        <v>0</v>
      </c>
    </row>
    <row r="257" spans="1:11" x14ac:dyDescent="0.2">
      <c r="A257" t="s">
        <v>277</v>
      </c>
      <c r="B257" t="s">
        <v>270</v>
      </c>
      <c r="C257" t="s">
        <v>18</v>
      </c>
      <c r="D257" t="s">
        <v>1048</v>
      </c>
      <c r="E257">
        <v>56</v>
      </c>
      <c r="F257">
        <v>318</v>
      </c>
      <c r="G257">
        <v>207.91</v>
      </c>
      <c r="H257">
        <v>5</v>
      </c>
      <c r="I257">
        <v>3</v>
      </c>
      <c r="J257">
        <v>4</v>
      </c>
      <c r="K257" cm="1">
        <f t="array" ref="K257">IF(COUNTA(_xlfn.UNIQUE(_xlfn._xlws.FILTER($C$2:$C$1001,$B$2:$B$1001=B257)))=1,1,0)</f>
        <v>0</v>
      </c>
    </row>
    <row r="258" spans="1:11" x14ac:dyDescent="0.2">
      <c r="A258" t="s">
        <v>278</v>
      </c>
      <c r="B258" t="s">
        <v>270</v>
      </c>
      <c r="C258" t="s">
        <v>18</v>
      </c>
      <c r="D258" t="s">
        <v>1048</v>
      </c>
      <c r="E258">
        <v>62</v>
      </c>
      <c r="F258">
        <v>93</v>
      </c>
      <c r="G258">
        <v>130.13999999999999</v>
      </c>
      <c r="H258">
        <v>3</v>
      </c>
      <c r="I258">
        <v>1</v>
      </c>
      <c r="J258">
        <v>3</v>
      </c>
      <c r="K258" cm="1">
        <f t="array" ref="K258">IF(COUNTA(_xlfn.UNIQUE(_xlfn._xlws.FILTER($C$2:$C$1001,$B$2:$B$1001=B258)))=1,1,0)</f>
        <v>0</v>
      </c>
    </row>
    <row r="259" spans="1:11" x14ac:dyDescent="0.2">
      <c r="A259" t="s">
        <v>279</v>
      </c>
      <c r="B259" t="s">
        <v>270</v>
      </c>
      <c r="C259" t="s">
        <v>18</v>
      </c>
      <c r="D259" t="s">
        <v>1048</v>
      </c>
      <c r="E259">
        <v>14</v>
      </c>
      <c r="F259">
        <v>462</v>
      </c>
      <c r="G259">
        <v>213</v>
      </c>
      <c r="H259">
        <v>3</v>
      </c>
      <c r="I259">
        <v>1</v>
      </c>
      <c r="J259">
        <v>4</v>
      </c>
      <c r="K259" cm="1">
        <f t="array" ref="K259">IF(COUNTA(_xlfn.UNIQUE(_xlfn._xlws.FILTER($C$2:$C$1001,$B$2:$B$1001=B259)))=1,1,0)</f>
        <v>0</v>
      </c>
    </row>
    <row r="260" spans="1:11" x14ac:dyDescent="0.2">
      <c r="A260" t="s">
        <v>280</v>
      </c>
      <c r="B260" t="s">
        <v>281</v>
      </c>
      <c r="C260" t="s">
        <v>274</v>
      </c>
      <c r="D260" t="s">
        <v>1051</v>
      </c>
      <c r="E260">
        <v>16</v>
      </c>
      <c r="F260">
        <v>413</v>
      </c>
      <c r="G260">
        <v>262.35000000000002</v>
      </c>
      <c r="H260">
        <v>5</v>
      </c>
      <c r="I260">
        <v>2</v>
      </c>
      <c r="J260">
        <v>3</v>
      </c>
      <c r="K260" cm="1">
        <f t="array" ref="K260">IF(COUNTA(_xlfn.UNIQUE(_xlfn._xlws.FILTER($C$2:$C$1001,$B$2:$B$1001=B260)))=1,1,0)</f>
        <v>0</v>
      </c>
    </row>
    <row r="261" spans="1:11" x14ac:dyDescent="0.2">
      <c r="A261" t="s">
        <v>282</v>
      </c>
      <c r="B261" t="s">
        <v>273</v>
      </c>
      <c r="C261" t="s">
        <v>18</v>
      </c>
      <c r="D261" t="s">
        <v>1050</v>
      </c>
      <c r="E261">
        <v>64</v>
      </c>
      <c r="F261">
        <v>460</v>
      </c>
      <c r="G261">
        <v>223.2</v>
      </c>
      <c r="H261">
        <v>4</v>
      </c>
      <c r="I261">
        <v>2</v>
      </c>
      <c r="J261">
        <v>4</v>
      </c>
      <c r="K261" cm="1">
        <f t="array" ref="K261">IF(COUNTA(_xlfn.UNIQUE(_xlfn._xlws.FILTER($C$2:$C$1001,$B$2:$B$1001=B261)))=1,1,0)</f>
        <v>0</v>
      </c>
    </row>
    <row r="262" spans="1:11" x14ac:dyDescent="0.2">
      <c r="A262" t="s">
        <v>283</v>
      </c>
      <c r="B262" t="s">
        <v>281</v>
      </c>
      <c r="C262" t="s">
        <v>274</v>
      </c>
      <c r="D262" t="s">
        <v>1051</v>
      </c>
      <c r="E262">
        <v>76</v>
      </c>
      <c r="F262">
        <v>170</v>
      </c>
      <c r="G262">
        <v>102.21</v>
      </c>
      <c r="H262">
        <v>5</v>
      </c>
      <c r="I262">
        <v>2</v>
      </c>
      <c r="J262">
        <v>4</v>
      </c>
      <c r="K262" cm="1">
        <f t="array" ref="K262">IF(COUNTA(_xlfn.UNIQUE(_xlfn._xlws.FILTER($C$2:$C$1001,$B$2:$B$1001=B262)))=1,1,0)</f>
        <v>0</v>
      </c>
    </row>
    <row r="263" spans="1:11" x14ac:dyDescent="0.2">
      <c r="A263" t="s">
        <v>284</v>
      </c>
      <c r="B263" t="s">
        <v>285</v>
      </c>
      <c r="C263" t="s">
        <v>274</v>
      </c>
      <c r="D263" t="s">
        <v>1052</v>
      </c>
      <c r="E263">
        <v>32</v>
      </c>
      <c r="F263">
        <v>160</v>
      </c>
      <c r="G263">
        <v>124.94</v>
      </c>
      <c r="H263">
        <v>4</v>
      </c>
      <c r="I263">
        <v>2</v>
      </c>
      <c r="J263">
        <v>3</v>
      </c>
      <c r="K263" cm="1">
        <f t="array" ref="K263">IF(COUNTA(_xlfn.UNIQUE(_xlfn._xlws.FILTER($C$2:$C$1001,$B$2:$B$1001=B263)))=1,1,0)</f>
        <v>0</v>
      </c>
    </row>
    <row r="264" spans="1:11" x14ac:dyDescent="0.2">
      <c r="A264" t="s">
        <v>286</v>
      </c>
      <c r="B264" t="s">
        <v>273</v>
      </c>
      <c r="C264" t="s">
        <v>274</v>
      </c>
      <c r="D264" t="s">
        <v>1049</v>
      </c>
      <c r="E264">
        <v>26</v>
      </c>
      <c r="F264">
        <v>408</v>
      </c>
      <c r="G264">
        <v>100.38</v>
      </c>
      <c r="H264">
        <v>4</v>
      </c>
      <c r="I264">
        <v>1</v>
      </c>
      <c r="J264">
        <v>3</v>
      </c>
      <c r="K264" cm="1">
        <f t="array" ref="K264">IF(COUNTA(_xlfn.UNIQUE(_xlfn._xlws.FILTER($C$2:$C$1001,$B$2:$B$1001=B264)))=1,1,0)</f>
        <v>0</v>
      </c>
    </row>
    <row r="265" spans="1:11" x14ac:dyDescent="0.2">
      <c r="A265" t="s">
        <v>287</v>
      </c>
      <c r="B265" t="s">
        <v>273</v>
      </c>
      <c r="C265" t="s">
        <v>274</v>
      </c>
      <c r="D265" t="s">
        <v>1049</v>
      </c>
      <c r="E265">
        <v>10</v>
      </c>
      <c r="F265">
        <v>63</v>
      </c>
      <c r="G265">
        <v>196.19</v>
      </c>
      <c r="H265">
        <v>4</v>
      </c>
      <c r="I265">
        <v>2</v>
      </c>
      <c r="J265">
        <v>3</v>
      </c>
      <c r="K265" cm="1">
        <f t="array" ref="K265">IF(COUNTA(_xlfn.UNIQUE(_xlfn._xlws.FILTER($C$2:$C$1001,$B$2:$B$1001=B265)))=1,1,0)</f>
        <v>0</v>
      </c>
    </row>
    <row r="266" spans="1:11" x14ac:dyDescent="0.2">
      <c r="A266" t="s">
        <v>288</v>
      </c>
      <c r="B266" t="s">
        <v>285</v>
      </c>
      <c r="C266" t="s">
        <v>274</v>
      </c>
      <c r="D266" t="s">
        <v>1052</v>
      </c>
      <c r="E266">
        <v>69</v>
      </c>
      <c r="F266">
        <v>131</v>
      </c>
      <c r="G266">
        <v>235.29</v>
      </c>
      <c r="H266">
        <v>5</v>
      </c>
      <c r="I266">
        <v>1</v>
      </c>
      <c r="J266">
        <v>3</v>
      </c>
      <c r="K266" cm="1">
        <f t="array" ref="K266">IF(COUNTA(_xlfn.UNIQUE(_xlfn._xlws.FILTER($C$2:$C$1001,$B$2:$B$1001=B266)))=1,1,0)</f>
        <v>0</v>
      </c>
    </row>
    <row r="267" spans="1:11" x14ac:dyDescent="0.2">
      <c r="A267" t="s">
        <v>289</v>
      </c>
      <c r="B267" t="s">
        <v>281</v>
      </c>
      <c r="C267" t="s">
        <v>18</v>
      </c>
      <c r="D267" t="s">
        <v>1053</v>
      </c>
      <c r="E267">
        <v>54</v>
      </c>
      <c r="F267">
        <v>125</v>
      </c>
      <c r="G267">
        <v>239.08</v>
      </c>
      <c r="H267">
        <v>5</v>
      </c>
      <c r="I267">
        <v>3</v>
      </c>
      <c r="J267">
        <v>4</v>
      </c>
      <c r="K267" cm="1">
        <f t="array" ref="K267">IF(COUNTA(_xlfn.UNIQUE(_xlfn._xlws.FILTER($C$2:$C$1001,$B$2:$B$1001=B267)))=1,1,0)</f>
        <v>0</v>
      </c>
    </row>
    <row r="268" spans="1:11" x14ac:dyDescent="0.2">
      <c r="A268" t="s">
        <v>290</v>
      </c>
      <c r="B268" t="s">
        <v>273</v>
      </c>
      <c r="C268" t="s">
        <v>274</v>
      </c>
      <c r="D268" t="s">
        <v>1049</v>
      </c>
      <c r="E268">
        <v>53</v>
      </c>
      <c r="F268">
        <v>232</v>
      </c>
      <c r="G268">
        <v>165.64</v>
      </c>
      <c r="H268">
        <v>4</v>
      </c>
      <c r="I268">
        <v>3</v>
      </c>
      <c r="J268">
        <v>3</v>
      </c>
      <c r="K268" cm="1">
        <f t="array" ref="K268">IF(COUNTA(_xlfn.UNIQUE(_xlfn._xlws.FILTER($C$2:$C$1001,$B$2:$B$1001=B268)))=1,1,0)</f>
        <v>0</v>
      </c>
    </row>
    <row r="269" spans="1:11" x14ac:dyDescent="0.2">
      <c r="A269" t="s">
        <v>291</v>
      </c>
      <c r="B269" t="s">
        <v>270</v>
      </c>
      <c r="C269" t="s">
        <v>274</v>
      </c>
      <c r="D269" t="s">
        <v>1054</v>
      </c>
      <c r="E269">
        <v>21</v>
      </c>
      <c r="F269">
        <v>210</v>
      </c>
      <c r="G269">
        <v>159.88999999999999</v>
      </c>
      <c r="H269">
        <v>5</v>
      </c>
      <c r="I269">
        <v>3</v>
      </c>
      <c r="J269">
        <v>3</v>
      </c>
      <c r="K269" cm="1">
        <f t="array" ref="K269">IF(COUNTA(_xlfn.UNIQUE(_xlfn._xlws.FILTER($C$2:$C$1001,$B$2:$B$1001=B269)))=1,1,0)</f>
        <v>0</v>
      </c>
    </row>
    <row r="270" spans="1:11" x14ac:dyDescent="0.2">
      <c r="A270" t="s">
        <v>292</v>
      </c>
      <c r="B270" t="s">
        <v>281</v>
      </c>
      <c r="C270" t="s">
        <v>18</v>
      </c>
      <c r="D270" t="s">
        <v>1053</v>
      </c>
      <c r="E270">
        <v>16</v>
      </c>
      <c r="F270">
        <v>408</v>
      </c>
      <c r="G270">
        <v>249.44</v>
      </c>
      <c r="H270">
        <v>3</v>
      </c>
      <c r="I270">
        <v>1</v>
      </c>
      <c r="J270">
        <v>3</v>
      </c>
      <c r="K270" cm="1">
        <f t="array" ref="K270">IF(COUNTA(_xlfn.UNIQUE(_xlfn._xlws.FILTER($C$2:$C$1001,$B$2:$B$1001=B270)))=1,1,0)</f>
        <v>0</v>
      </c>
    </row>
    <row r="271" spans="1:11" x14ac:dyDescent="0.2">
      <c r="A271" t="s">
        <v>293</v>
      </c>
      <c r="B271" t="s">
        <v>281</v>
      </c>
      <c r="C271" t="s">
        <v>274</v>
      </c>
      <c r="D271" t="s">
        <v>1051</v>
      </c>
      <c r="E271">
        <v>57</v>
      </c>
      <c r="F271">
        <v>399</v>
      </c>
      <c r="G271">
        <v>240.05</v>
      </c>
      <c r="H271">
        <v>3</v>
      </c>
      <c r="I271">
        <v>2</v>
      </c>
      <c r="J271">
        <v>4</v>
      </c>
      <c r="K271" cm="1">
        <f t="array" ref="K271">IF(COUNTA(_xlfn.UNIQUE(_xlfn._xlws.FILTER($C$2:$C$1001,$B$2:$B$1001=B271)))=1,1,0)</f>
        <v>0</v>
      </c>
    </row>
    <row r="272" spans="1:11" x14ac:dyDescent="0.2">
      <c r="A272" t="s">
        <v>294</v>
      </c>
      <c r="B272" t="s">
        <v>273</v>
      </c>
      <c r="C272" t="s">
        <v>274</v>
      </c>
      <c r="D272" t="s">
        <v>1049</v>
      </c>
      <c r="E272">
        <v>27</v>
      </c>
      <c r="F272">
        <v>459</v>
      </c>
      <c r="G272">
        <v>270.55</v>
      </c>
      <c r="H272">
        <v>3</v>
      </c>
      <c r="I272">
        <v>1</v>
      </c>
      <c r="J272">
        <v>3</v>
      </c>
      <c r="K272" cm="1">
        <f t="array" ref="K272">IF(COUNTA(_xlfn.UNIQUE(_xlfn._xlws.FILTER($C$2:$C$1001,$B$2:$B$1001=B272)))=1,1,0)</f>
        <v>0</v>
      </c>
    </row>
    <row r="273" spans="1:11" x14ac:dyDescent="0.2">
      <c r="A273" t="s">
        <v>295</v>
      </c>
      <c r="B273" t="s">
        <v>281</v>
      </c>
      <c r="C273" t="s">
        <v>18</v>
      </c>
      <c r="D273" t="s">
        <v>1053</v>
      </c>
      <c r="E273">
        <v>7</v>
      </c>
      <c r="F273">
        <v>139</v>
      </c>
      <c r="G273">
        <v>241.2</v>
      </c>
      <c r="H273">
        <v>5</v>
      </c>
      <c r="I273">
        <v>2</v>
      </c>
      <c r="J273">
        <v>4</v>
      </c>
      <c r="K273" cm="1">
        <f t="array" ref="K273">IF(COUNTA(_xlfn.UNIQUE(_xlfn._xlws.FILTER($C$2:$C$1001,$B$2:$B$1001=B273)))=1,1,0)</f>
        <v>0</v>
      </c>
    </row>
    <row r="274" spans="1:11" x14ac:dyDescent="0.2">
      <c r="A274" t="s">
        <v>296</v>
      </c>
      <c r="B274" t="s">
        <v>285</v>
      </c>
      <c r="C274" t="s">
        <v>274</v>
      </c>
      <c r="D274" t="s">
        <v>1052</v>
      </c>
      <c r="E274">
        <v>30</v>
      </c>
      <c r="F274">
        <v>231</v>
      </c>
      <c r="G274">
        <v>253.1</v>
      </c>
      <c r="H274">
        <v>3</v>
      </c>
      <c r="I274">
        <v>3</v>
      </c>
      <c r="J274">
        <v>4</v>
      </c>
      <c r="K274" cm="1">
        <f t="array" ref="K274">IF(COUNTA(_xlfn.UNIQUE(_xlfn._xlws.FILTER($C$2:$C$1001,$B$2:$B$1001=B274)))=1,1,0)</f>
        <v>0</v>
      </c>
    </row>
    <row r="275" spans="1:11" x14ac:dyDescent="0.2">
      <c r="A275" t="s">
        <v>297</v>
      </c>
      <c r="B275" t="s">
        <v>273</v>
      </c>
      <c r="C275" t="s">
        <v>274</v>
      </c>
      <c r="D275" t="s">
        <v>1049</v>
      </c>
      <c r="E275">
        <v>61</v>
      </c>
      <c r="F275">
        <v>413</v>
      </c>
      <c r="G275">
        <v>113.79</v>
      </c>
      <c r="H275">
        <v>5</v>
      </c>
      <c r="I275">
        <v>2</v>
      </c>
      <c r="J275">
        <v>4</v>
      </c>
      <c r="K275" cm="1">
        <f t="array" ref="K275">IF(COUNTA(_xlfn.UNIQUE(_xlfn._xlws.FILTER($C$2:$C$1001,$B$2:$B$1001=B275)))=1,1,0)</f>
        <v>0</v>
      </c>
    </row>
    <row r="276" spans="1:11" x14ac:dyDescent="0.2">
      <c r="A276" t="s">
        <v>298</v>
      </c>
      <c r="B276" t="s">
        <v>285</v>
      </c>
      <c r="C276" t="s">
        <v>18</v>
      </c>
      <c r="D276" t="s">
        <v>1055</v>
      </c>
      <c r="E276">
        <v>50</v>
      </c>
      <c r="F276">
        <v>449</v>
      </c>
      <c r="G276">
        <v>294.97000000000003</v>
      </c>
      <c r="H276">
        <v>4</v>
      </c>
      <c r="I276">
        <v>2</v>
      </c>
      <c r="J276">
        <v>4</v>
      </c>
      <c r="K276" cm="1">
        <f t="array" ref="K276">IF(COUNTA(_xlfn.UNIQUE(_xlfn._xlws.FILTER($C$2:$C$1001,$B$2:$B$1001=B276)))=1,1,0)</f>
        <v>0</v>
      </c>
    </row>
    <row r="277" spans="1:11" x14ac:dyDescent="0.2">
      <c r="A277" t="s">
        <v>299</v>
      </c>
      <c r="B277" t="s">
        <v>273</v>
      </c>
      <c r="C277" t="s">
        <v>18</v>
      </c>
      <c r="D277" t="s">
        <v>1050</v>
      </c>
      <c r="E277">
        <v>39</v>
      </c>
      <c r="F277">
        <v>133</v>
      </c>
      <c r="G277">
        <v>106.72</v>
      </c>
      <c r="H277">
        <v>3</v>
      </c>
      <c r="I277">
        <v>2</v>
      </c>
      <c r="J277">
        <v>4</v>
      </c>
      <c r="K277" cm="1">
        <f t="array" ref="K277">IF(COUNTA(_xlfn.UNIQUE(_xlfn._xlws.FILTER($C$2:$C$1001,$B$2:$B$1001=B277)))=1,1,0)</f>
        <v>0</v>
      </c>
    </row>
    <row r="278" spans="1:11" x14ac:dyDescent="0.2">
      <c r="A278" t="s">
        <v>300</v>
      </c>
      <c r="B278" t="s">
        <v>270</v>
      </c>
      <c r="C278" t="s">
        <v>274</v>
      </c>
      <c r="D278" t="s">
        <v>1054</v>
      </c>
      <c r="E278">
        <v>27</v>
      </c>
      <c r="F278">
        <v>209</v>
      </c>
      <c r="G278">
        <v>279.97000000000003</v>
      </c>
      <c r="H278">
        <v>5</v>
      </c>
      <c r="I278">
        <v>3</v>
      </c>
      <c r="J278">
        <v>4</v>
      </c>
      <c r="K278" cm="1">
        <f t="array" ref="K278">IF(COUNTA(_xlfn.UNIQUE(_xlfn._xlws.FILTER($C$2:$C$1001,$B$2:$B$1001=B278)))=1,1,0)</f>
        <v>0</v>
      </c>
    </row>
    <row r="279" spans="1:11" x14ac:dyDescent="0.2">
      <c r="A279" t="s">
        <v>301</v>
      </c>
      <c r="B279" t="s">
        <v>281</v>
      </c>
      <c r="C279" t="s">
        <v>18</v>
      </c>
      <c r="D279" t="s">
        <v>1053</v>
      </c>
      <c r="E279">
        <v>9</v>
      </c>
      <c r="F279">
        <v>191</v>
      </c>
      <c r="G279">
        <v>257.54000000000002</v>
      </c>
      <c r="H279">
        <v>5</v>
      </c>
      <c r="I279">
        <v>1</v>
      </c>
      <c r="J279">
        <v>3</v>
      </c>
      <c r="K279" cm="1">
        <f t="array" ref="K279">IF(COUNTA(_xlfn.UNIQUE(_xlfn._xlws.FILTER($C$2:$C$1001,$B$2:$B$1001=B279)))=1,1,0)</f>
        <v>0</v>
      </c>
    </row>
    <row r="280" spans="1:11" x14ac:dyDescent="0.2">
      <c r="A280" t="s">
        <v>302</v>
      </c>
      <c r="B280" t="s">
        <v>270</v>
      </c>
      <c r="C280" t="s">
        <v>274</v>
      </c>
      <c r="D280" t="s">
        <v>1054</v>
      </c>
      <c r="E280">
        <v>47</v>
      </c>
      <c r="F280">
        <v>452</v>
      </c>
      <c r="G280">
        <v>213.07</v>
      </c>
      <c r="H280">
        <v>4</v>
      </c>
      <c r="I280">
        <v>1</v>
      </c>
      <c r="J280">
        <v>3</v>
      </c>
      <c r="K280" cm="1">
        <f t="array" ref="K280">IF(COUNTA(_xlfn.UNIQUE(_xlfn._xlws.FILTER($C$2:$C$1001,$B$2:$B$1001=B280)))=1,1,0)</f>
        <v>0</v>
      </c>
    </row>
    <row r="281" spans="1:11" x14ac:dyDescent="0.2">
      <c r="A281" t="s">
        <v>303</v>
      </c>
      <c r="B281" t="s">
        <v>273</v>
      </c>
      <c r="C281" t="s">
        <v>18</v>
      </c>
      <c r="D281" t="s">
        <v>1050</v>
      </c>
      <c r="E281">
        <v>34</v>
      </c>
      <c r="F281">
        <v>376</v>
      </c>
      <c r="G281">
        <v>145.06</v>
      </c>
      <c r="H281">
        <v>4</v>
      </c>
      <c r="I281">
        <v>1</v>
      </c>
      <c r="J281">
        <v>4</v>
      </c>
      <c r="K281" cm="1">
        <f t="array" ref="K281">IF(COUNTA(_xlfn.UNIQUE(_xlfn._xlws.FILTER($C$2:$C$1001,$B$2:$B$1001=B281)))=1,1,0)</f>
        <v>0</v>
      </c>
    </row>
    <row r="282" spans="1:11" x14ac:dyDescent="0.2">
      <c r="A282" t="s">
        <v>304</v>
      </c>
      <c r="B282" t="s">
        <v>281</v>
      </c>
      <c r="C282" t="s">
        <v>274</v>
      </c>
      <c r="D282" t="s">
        <v>1051</v>
      </c>
      <c r="E282">
        <v>71</v>
      </c>
      <c r="F282">
        <v>226</v>
      </c>
      <c r="G282">
        <v>258.33999999999997</v>
      </c>
      <c r="H282">
        <v>4</v>
      </c>
      <c r="I282">
        <v>1</v>
      </c>
      <c r="J282">
        <v>3</v>
      </c>
      <c r="K282" cm="1">
        <f t="array" ref="K282">IF(COUNTA(_xlfn.UNIQUE(_xlfn._xlws.FILTER($C$2:$C$1001,$B$2:$B$1001=B282)))=1,1,0)</f>
        <v>0</v>
      </c>
    </row>
    <row r="283" spans="1:11" x14ac:dyDescent="0.2">
      <c r="A283" t="s">
        <v>305</v>
      </c>
      <c r="B283" t="s">
        <v>281</v>
      </c>
      <c r="C283" t="s">
        <v>274</v>
      </c>
      <c r="D283" t="s">
        <v>1051</v>
      </c>
      <c r="E283">
        <v>45</v>
      </c>
      <c r="F283">
        <v>161</v>
      </c>
      <c r="G283">
        <v>289.14</v>
      </c>
      <c r="H283">
        <v>5</v>
      </c>
      <c r="I283">
        <v>1</v>
      </c>
      <c r="J283">
        <v>3</v>
      </c>
      <c r="K283" cm="1">
        <f t="array" ref="K283">IF(COUNTA(_xlfn.UNIQUE(_xlfn._xlws.FILTER($C$2:$C$1001,$B$2:$B$1001=B283)))=1,1,0)</f>
        <v>0</v>
      </c>
    </row>
    <row r="284" spans="1:11" x14ac:dyDescent="0.2">
      <c r="A284" t="s">
        <v>306</v>
      </c>
      <c r="B284" t="s">
        <v>281</v>
      </c>
      <c r="C284" t="s">
        <v>18</v>
      </c>
      <c r="D284" t="s">
        <v>1053</v>
      </c>
      <c r="E284">
        <v>55</v>
      </c>
      <c r="F284">
        <v>343</v>
      </c>
      <c r="G284">
        <v>257.39</v>
      </c>
      <c r="H284">
        <v>5</v>
      </c>
      <c r="I284">
        <v>3</v>
      </c>
      <c r="J284">
        <v>4</v>
      </c>
      <c r="K284" cm="1">
        <f t="array" ref="K284">IF(COUNTA(_xlfn.UNIQUE(_xlfn._xlws.FILTER($C$2:$C$1001,$B$2:$B$1001=B284)))=1,1,0)</f>
        <v>0</v>
      </c>
    </row>
    <row r="285" spans="1:11" x14ac:dyDescent="0.2">
      <c r="A285" t="s">
        <v>307</v>
      </c>
      <c r="B285" t="s">
        <v>285</v>
      </c>
      <c r="C285" t="s">
        <v>274</v>
      </c>
      <c r="D285" t="s">
        <v>1052</v>
      </c>
      <c r="E285">
        <v>85</v>
      </c>
      <c r="F285">
        <v>203</v>
      </c>
      <c r="G285">
        <v>274.43</v>
      </c>
      <c r="H285">
        <v>5</v>
      </c>
      <c r="I285">
        <v>2</v>
      </c>
      <c r="J285">
        <v>3</v>
      </c>
      <c r="K285" cm="1">
        <f t="array" ref="K285">IF(COUNTA(_xlfn.UNIQUE(_xlfn._xlws.FILTER($C$2:$C$1001,$B$2:$B$1001=B285)))=1,1,0)</f>
        <v>0</v>
      </c>
    </row>
    <row r="286" spans="1:11" x14ac:dyDescent="0.2">
      <c r="A286" t="s">
        <v>308</v>
      </c>
      <c r="B286" t="s">
        <v>281</v>
      </c>
      <c r="C286" t="s">
        <v>274</v>
      </c>
      <c r="D286" t="s">
        <v>1051</v>
      </c>
      <c r="E286">
        <v>69</v>
      </c>
      <c r="F286">
        <v>430</v>
      </c>
      <c r="G286">
        <v>151.1</v>
      </c>
      <c r="H286">
        <v>5</v>
      </c>
      <c r="I286">
        <v>1</v>
      </c>
      <c r="J286">
        <v>3</v>
      </c>
      <c r="K286" cm="1">
        <f t="array" ref="K286">IF(COUNTA(_xlfn.UNIQUE(_xlfn._xlws.FILTER($C$2:$C$1001,$B$2:$B$1001=B286)))=1,1,0)</f>
        <v>0</v>
      </c>
    </row>
    <row r="287" spans="1:11" x14ac:dyDescent="0.2">
      <c r="A287" t="s">
        <v>309</v>
      </c>
      <c r="B287" t="s">
        <v>281</v>
      </c>
      <c r="C287" t="s">
        <v>18</v>
      </c>
      <c r="D287" t="s">
        <v>1053</v>
      </c>
      <c r="E287">
        <v>58</v>
      </c>
      <c r="F287">
        <v>93</v>
      </c>
      <c r="G287">
        <v>192.79</v>
      </c>
      <c r="H287">
        <v>4</v>
      </c>
      <c r="I287">
        <v>3</v>
      </c>
      <c r="J287">
        <v>3</v>
      </c>
      <c r="K287" cm="1">
        <f t="array" ref="K287">IF(COUNTA(_xlfn.UNIQUE(_xlfn._xlws.FILTER($C$2:$C$1001,$B$2:$B$1001=B287)))=1,1,0)</f>
        <v>0</v>
      </c>
    </row>
    <row r="288" spans="1:11" x14ac:dyDescent="0.2">
      <c r="A288" t="s">
        <v>310</v>
      </c>
      <c r="B288" t="s">
        <v>270</v>
      </c>
      <c r="C288" t="s">
        <v>274</v>
      </c>
      <c r="D288" t="s">
        <v>1054</v>
      </c>
      <c r="E288">
        <v>42</v>
      </c>
      <c r="F288">
        <v>452</v>
      </c>
      <c r="G288">
        <v>176.08</v>
      </c>
      <c r="H288">
        <v>4</v>
      </c>
      <c r="I288">
        <v>1</v>
      </c>
      <c r="J288">
        <v>3</v>
      </c>
      <c r="K288" cm="1">
        <f t="array" ref="K288">IF(COUNTA(_xlfn.UNIQUE(_xlfn._xlws.FILTER($C$2:$C$1001,$B$2:$B$1001=B288)))=1,1,0)</f>
        <v>0</v>
      </c>
    </row>
    <row r="289" spans="1:11" x14ac:dyDescent="0.2">
      <c r="A289" t="s">
        <v>311</v>
      </c>
      <c r="B289" t="s">
        <v>273</v>
      </c>
      <c r="C289" t="s">
        <v>274</v>
      </c>
      <c r="D289" t="s">
        <v>1049</v>
      </c>
      <c r="E289">
        <v>66</v>
      </c>
      <c r="F289">
        <v>96</v>
      </c>
      <c r="G289">
        <v>259.58</v>
      </c>
      <c r="H289">
        <v>4</v>
      </c>
      <c r="I289">
        <v>2</v>
      </c>
      <c r="J289">
        <v>3</v>
      </c>
      <c r="K289" cm="1">
        <f t="array" ref="K289">IF(COUNTA(_xlfn.UNIQUE(_xlfn._xlws.FILTER($C$2:$C$1001,$B$2:$B$1001=B289)))=1,1,0)</f>
        <v>0</v>
      </c>
    </row>
    <row r="290" spans="1:11" x14ac:dyDescent="0.2">
      <c r="A290" t="s">
        <v>312</v>
      </c>
      <c r="B290" t="s">
        <v>285</v>
      </c>
      <c r="C290" t="s">
        <v>18</v>
      </c>
      <c r="D290" t="s">
        <v>1055</v>
      </c>
      <c r="E290">
        <v>46</v>
      </c>
      <c r="F290">
        <v>385</v>
      </c>
      <c r="G290">
        <v>133.21</v>
      </c>
      <c r="H290">
        <v>5</v>
      </c>
      <c r="I290">
        <v>3</v>
      </c>
      <c r="J290">
        <v>3</v>
      </c>
      <c r="K290" cm="1">
        <f t="array" ref="K290">IF(COUNTA(_xlfn.UNIQUE(_xlfn._xlws.FILTER($C$2:$C$1001,$B$2:$B$1001=B290)))=1,1,0)</f>
        <v>0</v>
      </c>
    </row>
    <row r="291" spans="1:11" x14ac:dyDescent="0.2">
      <c r="A291" t="s">
        <v>313</v>
      </c>
      <c r="B291" t="s">
        <v>281</v>
      </c>
      <c r="C291" t="s">
        <v>274</v>
      </c>
      <c r="D291" t="s">
        <v>1051</v>
      </c>
      <c r="E291">
        <v>10</v>
      </c>
      <c r="F291">
        <v>57</v>
      </c>
      <c r="G291">
        <v>140.4</v>
      </c>
      <c r="H291">
        <v>5</v>
      </c>
      <c r="I291">
        <v>1</v>
      </c>
      <c r="J291">
        <v>3</v>
      </c>
      <c r="K291" cm="1">
        <f t="array" ref="K291">IF(COUNTA(_xlfn.UNIQUE(_xlfn._xlws.FILTER($C$2:$C$1001,$B$2:$B$1001=B291)))=1,1,0)</f>
        <v>0</v>
      </c>
    </row>
    <row r="292" spans="1:11" x14ac:dyDescent="0.2">
      <c r="A292" t="s">
        <v>314</v>
      </c>
      <c r="B292" t="s">
        <v>281</v>
      </c>
      <c r="C292" t="s">
        <v>274</v>
      </c>
      <c r="D292" t="s">
        <v>1051</v>
      </c>
      <c r="E292">
        <v>69</v>
      </c>
      <c r="F292">
        <v>81</v>
      </c>
      <c r="G292">
        <v>116.69</v>
      </c>
      <c r="H292">
        <v>5</v>
      </c>
      <c r="I292">
        <v>1</v>
      </c>
      <c r="J292">
        <v>3</v>
      </c>
      <c r="K292" cm="1">
        <f t="array" ref="K292">IF(COUNTA(_xlfn.UNIQUE(_xlfn._xlws.FILTER($C$2:$C$1001,$B$2:$B$1001=B292)))=1,1,0)</f>
        <v>0</v>
      </c>
    </row>
    <row r="293" spans="1:11" x14ac:dyDescent="0.2">
      <c r="A293" t="s">
        <v>315</v>
      </c>
      <c r="B293" t="s">
        <v>273</v>
      </c>
      <c r="C293" t="s">
        <v>274</v>
      </c>
      <c r="D293" t="s">
        <v>1049</v>
      </c>
      <c r="E293">
        <v>65</v>
      </c>
      <c r="F293">
        <v>318</v>
      </c>
      <c r="G293">
        <v>233.58</v>
      </c>
      <c r="H293">
        <v>4</v>
      </c>
      <c r="I293">
        <v>2</v>
      </c>
      <c r="J293">
        <v>4</v>
      </c>
      <c r="K293" cm="1">
        <f t="array" ref="K293">IF(COUNTA(_xlfn.UNIQUE(_xlfn._xlws.FILTER($C$2:$C$1001,$B$2:$B$1001=B293)))=1,1,0)</f>
        <v>0</v>
      </c>
    </row>
    <row r="294" spans="1:11" x14ac:dyDescent="0.2">
      <c r="A294" t="s">
        <v>316</v>
      </c>
      <c r="B294" t="s">
        <v>270</v>
      </c>
      <c r="C294" t="s">
        <v>274</v>
      </c>
      <c r="D294" t="s">
        <v>1054</v>
      </c>
      <c r="E294">
        <v>11</v>
      </c>
      <c r="F294">
        <v>180</v>
      </c>
      <c r="G294">
        <v>237.37</v>
      </c>
      <c r="H294">
        <v>5</v>
      </c>
      <c r="I294">
        <v>1</v>
      </c>
      <c r="J294">
        <v>3</v>
      </c>
      <c r="K294" cm="1">
        <f t="array" ref="K294">IF(COUNTA(_xlfn.UNIQUE(_xlfn._xlws.FILTER($C$2:$C$1001,$B$2:$B$1001=B294)))=1,1,0)</f>
        <v>0</v>
      </c>
    </row>
    <row r="295" spans="1:11" x14ac:dyDescent="0.2">
      <c r="A295" t="s">
        <v>317</v>
      </c>
      <c r="B295" t="s">
        <v>270</v>
      </c>
      <c r="C295" t="s">
        <v>18</v>
      </c>
      <c r="D295" t="s">
        <v>1048</v>
      </c>
      <c r="E295">
        <v>72</v>
      </c>
      <c r="F295">
        <v>421</v>
      </c>
      <c r="G295">
        <v>271.64</v>
      </c>
      <c r="H295">
        <v>3</v>
      </c>
      <c r="I295">
        <v>3</v>
      </c>
      <c r="J295">
        <v>4</v>
      </c>
      <c r="K295" cm="1">
        <f t="array" ref="K295">IF(COUNTA(_xlfn.UNIQUE(_xlfn._xlws.FILTER($C$2:$C$1001,$B$2:$B$1001=B295)))=1,1,0)</f>
        <v>0</v>
      </c>
    </row>
    <row r="296" spans="1:11" x14ac:dyDescent="0.2">
      <c r="A296" t="s">
        <v>318</v>
      </c>
      <c r="B296" t="s">
        <v>270</v>
      </c>
      <c r="C296" t="s">
        <v>274</v>
      </c>
      <c r="D296" t="s">
        <v>1054</v>
      </c>
      <c r="E296">
        <v>27</v>
      </c>
      <c r="F296">
        <v>265</v>
      </c>
      <c r="G296">
        <v>162.81</v>
      </c>
      <c r="H296">
        <v>5</v>
      </c>
      <c r="I296">
        <v>2</v>
      </c>
      <c r="J296">
        <v>4</v>
      </c>
      <c r="K296" cm="1">
        <f t="array" ref="K296">IF(COUNTA(_xlfn.UNIQUE(_xlfn._xlws.FILTER($C$2:$C$1001,$B$2:$B$1001=B296)))=1,1,0)</f>
        <v>0</v>
      </c>
    </row>
    <row r="297" spans="1:11" x14ac:dyDescent="0.2">
      <c r="A297" t="s">
        <v>319</v>
      </c>
      <c r="B297" t="s">
        <v>285</v>
      </c>
      <c r="C297" t="s">
        <v>18</v>
      </c>
      <c r="D297" t="s">
        <v>1055</v>
      </c>
      <c r="E297">
        <v>64</v>
      </c>
      <c r="F297">
        <v>212</v>
      </c>
      <c r="G297">
        <v>120.13</v>
      </c>
      <c r="H297">
        <v>5</v>
      </c>
      <c r="I297">
        <v>2</v>
      </c>
      <c r="J297">
        <v>4</v>
      </c>
      <c r="K297" cm="1">
        <f t="array" ref="K297">IF(COUNTA(_xlfn.UNIQUE(_xlfn._xlws.FILTER($C$2:$C$1001,$B$2:$B$1001=B297)))=1,1,0)</f>
        <v>0</v>
      </c>
    </row>
    <row r="298" spans="1:11" x14ac:dyDescent="0.2">
      <c r="A298" t="s">
        <v>320</v>
      </c>
      <c r="B298" t="s">
        <v>270</v>
      </c>
      <c r="C298" t="s">
        <v>18</v>
      </c>
      <c r="D298" t="s">
        <v>1048</v>
      </c>
      <c r="E298">
        <v>41</v>
      </c>
      <c r="F298">
        <v>199</v>
      </c>
      <c r="G298">
        <v>224.19</v>
      </c>
      <c r="H298">
        <v>4</v>
      </c>
      <c r="I298">
        <v>2</v>
      </c>
      <c r="J298">
        <v>3</v>
      </c>
      <c r="K298" cm="1">
        <f t="array" ref="K298">IF(COUNTA(_xlfn.UNIQUE(_xlfn._xlws.FILTER($C$2:$C$1001,$B$2:$B$1001=B298)))=1,1,0)</f>
        <v>0</v>
      </c>
    </row>
    <row r="299" spans="1:11" x14ac:dyDescent="0.2">
      <c r="A299" t="s">
        <v>321</v>
      </c>
      <c r="B299" t="s">
        <v>273</v>
      </c>
      <c r="C299" t="s">
        <v>274</v>
      </c>
      <c r="D299" t="s">
        <v>1049</v>
      </c>
      <c r="E299">
        <v>76</v>
      </c>
      <c r="F299">
        <v>115</v>
      </c>
      <c r="G299">
        <v>235.24</v>
      </c>
      <c r="H299">
        <v>5</v>
      </c>
      <c r="I299">
        <v>2</v>
      </c>
      <c r="J299">
        <v>3</v>
      </c>
      <c r="K299" cm="1">
        <f t="array" ref="K299">IF(COUNTA(_xlfn.UNIQUE(_xlfn._xlws.FILTER($C$2:$C$1001,$B$2:$B$1001=B299)))=1,1,0)</f>
        <v>0</v>
      </c>
    </row>
    <row r="300" spans="1:11" x14ac:dyDescent="0.2">
      <c r="A300" t="s">
        <v>322</v>
      </c>
      <c r="B300" t="s">
        <v>273</v>
      </c>
      <c r="C300" t="s">
        <v>18</v>
      </c>
      <c r="D300" t="s">
        <v>1050</v>
      </c>
      <c r="E300">
        <v>53</v>
      </c>
      <c r="F300">
        <v>296</v>
      </c>
      <c r="G300">
        <v>298.35000000000002</v>
      </c>
      <c r="H300">
        <v>5</v>
      </c>
      <c r="I300">
        <v>1</v>
      </c>
      <c r="J300">
        <v>3</v>
      </c>
      <c r="K300" cm="1">
        <f t="array" ref="K300">IF(COUNTA(_xlfn.UNIQUE(_xlfn._xlws.FILTER($C$2:$C$1001,$B$2:$B$1001=B300)))=1,1,0)</f>
        <v>0</v>
      </c>
    </row>
    <row r="301" spans="1:11" x14ac:dyDescent="0.2">
      <c r="A301" t="s">
        <v>323</v>
      </c>
      <c r="B301" t="s">
        <v>281</v>
      </c>
      <c r="C301" t="s">
        <v>274</v>
      </c>
      <c r="D301" t="s">
        <v>1051</v>
      </c>
      <c r="E301">
        <v>45</v>
      </c>
      <c r="F301">
        <v>362</v>
      </c>
      <c r="G301">
        <v>113.7</v>
      </c>
      <c r="H301">
        <v>4</v>
      </c>
      <c r="I301">
        <v>1</v>
      </c>
      <c r="J301">
        <v>3</v>
      </c>
      <c r="K301" cm="1">
        <f t="array" ref="K301">IF(COUNTA(_xlfn.UNIQUE(_xlfn._xlws.FILTER($C$2:$C$1001,$B$2:$B$1001=B301)))=1,1,0)</f>
        <v>0</v>
      </c>
    </row>
    <row r="302" spans="1:11" x14ac:dyDescent="0.2">
      <c r="A302" t="s">
        <v>324</v>
      </c>
      <c r="B302" t="s">
        <v>273</v>
      </c>
      <c r="C302" t="s">
        <v>18</v>
      </c>
      <c r="D302" t="s">
        <v>1050</v>
      </c>
      <c r="E302">
        <v>65</v>
      </c>
      <c r="F302">
        <v>259</v>
      </c>
      <c r="G302">
        <v>233</v>
      </c>
      <c r="H302">
        <v>5</v>
      </c>
      <c r="I302">
        <v>3</v>
      </c>
      <c r="J302">
        <v>3</v>
      </c>
      <c r="K302" cm="1">
        <f t="array" ref="K302">IF(COUNTA(_xlfn.UNIQUE(_xlfn._xlws.FILTER($C$2:$C$1001,$B$2:$B$1001=B302)))=1,1,0)</f>
        <v>0</v>
      </c>
    </row>
    <row r="303" spans="1:11" x14ac:dyDescent="0.2">
      <c r="A303" t="s">
        <v>325</v>
      </c>
      <c r="B303" t="s">
        <v>270</v>
      </c>
      <c r="C303" t="s">
        <v>274</v>
      </c>
      <c r="D303" t="s">
        <v>1054</v>
      </c>
      <c r="E303">
        <v>36</v>
      </c>
      <c r="F303">
        <v>191</v>
      </c>
      <c r="G303">
        <v>175.9</v>
      </c>
      <c r="H303">
        <v>5</v>
      </c>
      <c r="I303">
        <v>3</v>
      </c>
      <c r="J303">
        <v>4</v>
      </c>
      <c r="K303" cm="1">
        <f t="array" ref="K303">IF(COUNTA(_xlfn.UNIQUE(_xlfn._xlws.FILTER($C$2:$C$1001,$B$2:$B$1001=B303)))=1,1,0)</f>
        <v>0</v>
      </c>
    </row>
    <row r="304" spans="1:11" x14ac:dyDescent="0.2">
      <c r="A304" t="s">
        <v>326</v>
      </c>
      <c r="B304" t="s">
        <v>270</v>
      </c>
      <c r="C304" t="s">
        <v>274</v>
      </c>
      <c r="D304" t="s">
        <v>1054</v>
      </c>
      <c r="E304">
        <v>28</v>
      </c>
      <c r="F304">
        <v>330</v>
      </c>
      <c r="G304">
        <v>184.51</v>
      </c>
      <c r="H304">
        <v>5</v>
      </c>
      <c r="I304">
        <v>2</v>
      </c>
      <c r="J304">
        <v>4</v>
      </c>
      <c r="K304" cm="1">
        <f t="array" ref="K304">IF(COUNTA(_xlfn.UNIQUE(_xlfn._xlws.FILTER($C$2:$C$1001,$B$2:$B$1001=B304)))=1,1,0)</f>
        <v>0</v>
      </c>
    </row>
    <row r="305" spans="1:11" x14ac:dyDescent="0.2">
      <c r="A305" t="s">
        <v>327</v>
      </c>
      <c r="B305" t="s">
        <v>285</v>
      </c>
      <c r="C305" t="s">
        <v>274</v>
      </c>
      <c r="D305" t="s">
        <v>1052</v>
      </c>
      <c r="E305">
        <v>84</v>
      </c>
      <c r="F305">
        <v>436</v>
      </c>
      <c r="G305">
        <v>294.56</v>
      </c>
      <c r="H305">
        <v>3</v>
      </c>
      <c r="I305">
        <v>2</v>
      </c>
      <c r="J305">
        <v>4</v>
      </c>
      <c r="K305" cm="1">
        <f t="array" ref="K305">IF(COUNTA(_xlfn.UNIQUE(_xlfn._xlws.FILTER($C$2:$C$1001,$B$2:$B$1001=B305)))=1,1,0)</f>
        <v>0</v>
      </c>
    </row>
    <row r="306" spans="1:11" x14ac:dyDescent="0.2">
      <c r="A306" t="s">
        <v>328</v>
      </c>
      <c r="B306" t="s">
        <v>270</v>
      </c>
      <c r="C306" t="s">
        <v>274</v>
      </c>
      <c r="D306" t="s">
        <v>1054</v>
      </c>
      <c r="E306">
        <v>59</v>
      </c>
      <c r="F306">
        <v>170</v>
      </c>
      <c r="G306">
        <v>225.65</v>
      </c>
      <c r="H306">
        <v>4</v>
      </c>
      <c r="I306">
        <v>1</v>
      </c>
      <c r="J306">
        <v>4</v>
      </c>
      <c r="K306" cm="1">
        <f t="array" ref="K306">IF(COUNTA(_xlfn.UNIQUE(_xlfn._xlws.FILTER($C$2:$C$1001,$B$2:$B$1001=B306)))=1,1,0)</f>
        <v>0</v>
      </c>
    </row>
    <row r="307" spans="1:11" x14ac:dyDescent="0.2">
      <c r="A307" t="s">
        <v>329</v>
      </c>
      <c r="B307" t="s">
        <v>273</v>
      </c>
      <c r="C307" t="s">
        <v>274</v>
      </c>
      <c r="D307" t="s">
        <v>1049</v>
      </c>
      <c r="E307">
        <v>81</v>
      </c>
      <c r="F307">
        <v>314</v>
      </c>
      <c r="G307">
        <v>152.66</v>
      </c>
      <c r="H307">
        <v>4</v>
      </c>
      <c r="I307">
        <v>2</v>
      </c>
      <c r="J307">
        <v>4</v>
      </c>
      <c r="K307" cm="1">
        <f t="array" ref="K307">IF(COUNTA(_xlfn.UNIQUE(_xlfn._xlws.FILTER($C$2:$C$1001,$B$2:$B$1001=B307)))=1,1,0)</f>
        <v>0</v>
      </c>
    </row>
    <row r="308" spans="1:11" x14ac:dyDescent="0.2">
      <c r="A308" t="s">
        <v>330</v>
      </c>
      <c r="B308" t="s">
        <v>273</v>
      </c>
      <c r="C308" t="s">
        <v>274</v>
      </c>
      <c r="D308" t="s">
        <v>1049</v>
      </c>
      <c r="E308">
        <v>47</v>
      </c>
      <c r="F308">
        <v>271</v>
      </c>
      <c r="G308">
        <v>159.97999999999999</v>
      </c>
      <c r="H308">
        <v>4</v>
      </c>
      <c r="I308">
        <v>1</v>
      </c>
      <c r="J308">
        <v>3</v>
      </c>
      <c r="K308" cm="1">
        <f t="array" ref="K308">IF(COUNTA(_xlfn.UNIQUE(_xlfn._xlws.FILTER($C$2:$C$1001,$B$2:$B$1001=B308)))=1,1,0)</f>
        <v>0</v>
      </c>
    </row>
    <row r="309" spans="1:11" x14ac:dyDescent="0.2">
      <c r="A309" t="s">
        <v>331</v>
      </c>
      <c r="B309" t="s">
        <v>285</v>
      </c>
      <c r="C309" t="s">
        <v>274</v>
      </c>
      <c r="D309" t="s">
        <v>1052</v>
      </c>
      <c r="E309">
        <v>70</v>
      </c>
      <c r="F309">
        <v>111</v>
      </c>
      <c r="G309">
        <v>115.79</v>
      </c>
      <c r="H309">
        <v>5</v>
      </c>
      <c r="I309">
        <v>2</v>
      </c>
      <c r="J309">
        <v>3</v>
      </c>
      <c r="K309" cm="1">
        <f t="array" ref="K309">IF(COUNTA(_xlfn.UNIQUE(_xlfn._xlws.FILTER($C$2:$C$1001,$B$2:$B$1001=B309)))=1,1,0)</f>
        <v>0</v>
      </c>
    </row>
    <row r="310" spans="1:11" x14ac:dyDescent="0.2">
      <c r="A310" t="s">
        <v>332</v>
      </c>
      <c r="B310" t="s">
        <v>281</v>
      </c>
      <c r="C310" t="s">
        <v>18</v>
      </c>
      <c r="D310" t="s">
        <v>1053</v>
      </c>
      <c r="E310">
        <v>79</v>
      </c>
      <c r="F310">
        <v>374</v>
      </c>
      <c r="G310">
        <v>204.29</v>
      </c>
      <c r="H310">
        <v>4</v>
      </c>
      <c r="I310">
        <v>1</v>
      </c>
      <c r="J310">
        <v>4</v>
      </c>
      <c r="K310" cm="1">
        <f t="array" ref="K310">IF(COUNTA(_xlfn.UNIQUE(_xlfn._xlws.FILTER($C$2:$C$1001,$B$2:$B$1001=B310)))=1,1,0)</f>
        <v>0</v>
      </c>
    </row>
    <row r="311" spans="1:11" x14ac:dyDescent="0.2">
      <c r="A311" t="s">
        <v>333</v>
      </c>
      <c r="B311" t="s">
        <v>273</v>
      </c>
      <c r="C311" t="s">
        <v>18</v>
      </c>
      <c r="D311" t="s">
        <v>1050</v>
      </c>
      <c r="E311">
        <v>46</v>
      </c>
      <c r="F311">
        <v>265</v>
      </c>
      <c r="G311">
        <v>273.70999999999998</v>
      </c>
      <c r="H311">
        <v>5</v>
      </c>
      <c r="I311">
        <v>3</v>
      </c>
      <c r="J311">
        <v>4</v>
      </c>
      <c r="K311" cm="1">
        <f t="array" ref="K311">IF(COUNTA(_xlfn.UNIQUE(_xlfn._xlws.FILTER($C$2:$C$1001,$B$2:$B$1001=B311)))=1,1,0)</f>
        <v>0</v>
      </c>
    </row>
    <row r="312" spans="1:11" x14ac:dyDescent="0.2">
      <c r="A312" t="s">
        <v>334</v>
      </c>
      <c r="B312" t="s">
        <v>285</v>
      </c>
      <c r="C312" t="s">
        <v>274</v>
      </c>
      <c r="D312" t="s">
        <v>1052</v>
      </c>
      <c r="E312">
        <v>27</v>
      </c>
      <c r="F312">
        <v>64</v>
      </c>
      <c r="G312">
        <v>192.89</v>
      </c>
      <c r="H312">
        <v>4</v>
      </c>
      <c r="I312">
        <v>2</v>
      </c>
      <c r="J312">
        <v>3</v>
      </c>
      <c r="K312" cm="1">
        <f t="array" ref="K312">IF(COUNTA(_xlfn.UNIQUE(_xlfn._xlws.FILTER($C$2:$C$1001,$B$2:$B$1001=B312)))=1,1,0)</f>
        <v>0</v>
      </c>
    </row>
    <row r="313" spans="1:11" x14ac:dyDescent="0.2">
      <c r="A313" t="s">
        <v>335</v>
      </c>
      <c r="B313" t="s">
        <v>270</v>
      </c>
      <c r="C313" t="s">
        <v>274</v>
      </c>
      <c r="D313" t="s">
        <v>1054</v>
      </c>
      <c r="E313">
        <v>73</v>
      </c>
      <c r="F313">
        <v>228</v>
      </c>
      <c r="G313">
        <v>257.76</v>
      </c>
      <c r="H313">
        <v>5</v>
      </c>
      <c r="I313">
        <v>1</v>
      </c>
      <c r="J313">
        <v>4</v>
      </c>
      <c r="K313" cm="1">
        <f t="array" ref="K313">IF(COUNTA(_xlfn.UNIQUE(_xlfn._xlws.FILTER($C$2:$C$1001,$B$2:$B$1001=B313)))=1,1,0)</f>
        <v>0</v>
      </c>
    </row>
    <row r="314" spans="1:11" x14ac:dyDescent="0.2">
      <c r="A314" t="s">
        <v>336</v>
      </c>
      <c r="B314" t="s">
        <v>281</v>
      </c>
      <c r="C314" t="s">
        <v>274</v>
      </c>
      <c r="D314" t="s">
        <v>1051</v>
      </c>
      <c r="E314">
        <v>12</v>
      </c>
      <c r="F314">
        <v>396</v>
      </c>
      <c r="G314">
        <v>154.31</v>
      </c>
      <c r="H314">
        <v>5</v>
      </c>
      <c r="I314">
        <v>2</v>
      </c>
      <c r="J314">
        <v>3</v>
      </c>
      <c r="K314" cm="1">
        <f t="array" ref="K314">IF(COUNTA(_xlfn.UNIQUE(_xlfn._xlws.FILTER($C$2:$C$1001,$B$2:$B$1001=B314)))=1,1,0)</f>
        <v>0</v>
      </c>
    </row>
    <row r="315" spans="1:11" x14ac:dyDescent="0.2">
      <c r="A315" t="s">
        <v>337</v>
      </c>
      <c r="B315" t="s">
        <v>281</v>
      </c>
      <c r="C315" t="s">
        <v>274</v>
      </c>
      <c r="D315" t="s">
        <v>1051</v>
      </c>
      <c r="E315">
        <v>71</v>
      </c>
      <c r="F315">
        <v>317</v>
      </c>
      <c r="G315">
        <v>172.37</v>
      </c>
      <c r="H315">
        <v>5</v>
      </c>
      <c r="I315">
        <v>2</v>
      </c>
      <c r="J315">
        <v>4</v>
      </c>
      <c r="K315" cm="1">
        <f t="array" ref="K315">IF(COUNTA(_xlfn.UNIQUE(_xlfn._xlws.FILTER($C$2:$C$1001,$B$2:$B$1001=B315)))=1,1,0)</f>
        <v>0</v>
      </c>
    </row>
    <row r="316" spans="1:11" x14ac:dyDescent="0.2">
      <c r="A316" t="s">
        <v>338</v>
      </c>
      <c r="B316" t="s">
        <v>273</v>
      </c>
      <c r="C316" t="s">
        <v>18</v>
      </c>
      <c r="D316" t="s">
        <v>1050</v>
      </c>
      <c r="E316">
        <v>67</v>
      </c>
      <c r="F316">
        <v>473</v>
      </c>
      <c r="G316">
        <v>196.41</v>
      </c>
      <c r="H316">
        <v>3</v>
      </c>
      <c r="I316">
        <v>1</v>
      </c>
      <c r="J316">
        <v>4</v>
      </c>
      <c r="K316" cm="1">
        <f t="array" ref="K316">IF(COUNTA(_xlfn.UNIQUE(_xlfn._xlws.FILTER($C$2:$C$1001,$B$2:$B$1001=B316)))=1,1,0)</f>
        <v>0</v>
      </c>
    </row>
    <row r="317" spans="1:11" x14ac:dyDescent="0.2">
      <c r="A317" t="s">
        <v>339</v>
      </c>
      <c r="B317" t="s">
        <v>281</v>
      </c>
      <c r="C317" t="s">
        <v>18</v>
      </c>
      <c r="D317" t="s">
        <v>1053</v>
      </c>
      <c r="E317">
        <v>55</v>
      </c>
      <c r="F317">
        <v>185</v>
      </c>
      <c r="G317">
        <v>109.9</v>
      </c>
      <c r="H317">
        <v>4</v>
      </c>
      <c r="I317">
        <v>3</v>
      </c>
      <c r="J317">
        <v>3</v>
      </c>
      <c r="K317" cm="1">
        <f t="array" ref="K317">IF(COUNTA(_xlfn.UNIQUE(_xlfn._xlws.FILTER($C$2:$C$1001,$B$2:$B$1001=B317)))=1,1,0)</f>
        <v>0</v>
      </c>
    </row>
    <row r="318" spans="1:11" x14ac:dyDescent="0.2">
      <c r="A318" t="s">
        <v>340</v>
      </c>
      <c r="B318" t="s">
        <v>285</v>
      </c>
      <c r="C318" t="s">
        <v>18</v>
      </c>
      <c r="D318" t="s">
        <v>1055</v>
      </c>
      <c r="E318">
        <v>23</v>
      </c>
      <c r="F318">
        <v>431</v>
      </c>
      <c r="G318">
        <v>158.69999999999999</v>
      </c>
      <c r="H318">
        <v>4</v>
      </c>
      <c r="I318">
        <v>1</v>
      </c>
      <c r="J318">
        <v>3</v>
      </c>
      <c r="K318" cm="1">
        <f t="array" ref="K318">IF(COUNTA(_xlfn.UNIQUE(_xlfn._xlws.FILTER($C$2:$C$1001,$B$2:$B$1001=B318)))=1,1,0)</f>
        <v>0</v>
      </c>
    </row>
    <row r="319" spans="1:11" x14ac:dyDescent="0.2">
      <c r="A319" t="s">
        <v>341</v>
      </c>
      <c r="B319" t="s">
        <v>285</v>
      </c>
      <c r="C319" t="s">
        <v>274</v>
      </c>
      <c r="D319" t="s">
        <v>1052</v>
      </c>
      <c r="E319">
        <v>25</v>
      </c>
      <c r="F319">
        <v>232</v>
      </c>
      <c r="G319">
        <v>275.97000000000003</v>
      </c>
      <c r="H319">
        <v>5</v>
      </c>
      <c r="I319">
        <v>1</v>
      </c>
      <c r="J319">
        <v>3</v>
      </c>
      <c r="K319" cm="1">
        <f t="array" ref="K319">IF(COUNTA(_xlfn.UNIQUE(_xlfn._xlws.FILTER($C$2:$C$1001,$B$2:$B$1001=B319)))=1,1,0)</f>
        <v>0</v>
      </c>
    </row>
    <row r="320" spans="1:11" x14ac:dyDescent="0.2">
      <c r="A320" t="s">
        <v>342</v>
      </c>
      <c r="B320" t="s">
        <v>270</v>
      </c>
      <c r="C320" t="s">
        <v>274</v>
      </c>
      <c r="D320" t="s">
        <v>1054</v>
      </c>
      <c r="E320">
        <v>18</v>
      </c>
      <c r="F320">
        <v>50</v>
      </c>
      <c r="G320">
        <v>154.94999999999999</v>
      </c>
      <c r="H320">
        <v>3</v>
      </c>
      <c r="I320">
        <v>1</v>
      </c>
      <c r="J320">
        <v>4</v>
      </c>
      <c r="K320" cm="1">
        <f t="array" ref="K320">IF(COUNTA(_xlfn.UNIQUE(_xlfn._xlws.FILTER($C$2:$C$1001,$B$2:$B$1001=B320)))=1,1,0)</f>
        <v>0</v>
      </c>
    </row>
    <row r="321" spans="1:11" x14ac:dyDescent="0.2">
      <c r="A321" t="s">
        <v>343</v>
      </c>
      <c r="B321" t="s">
        <v>273</v>
      </c>
      <c r="C321" t="s">
        <v>274</v>
      </c>
      <c r="D321" t="s">
        <v>1049</v>
      </c>
      <c r="E321">
        <v>52</v>
      </c>
      <c r="F321">
        <v>152</v>
      </c>
      <c r="G321">
        <v>264.76</v>
      </c>
      <c r="H321">
        <v>4</v>
      </c>
      <c r="I321">
        <v>2</v>
      </c>
      <c r="J321">
        <v>4</v>
      </c>
      <c r="K321" cm="1">
        <f t="array" ref="K321">IF(COUNTA(_xlfn.UNIQUE(_xlfn._xlws.FILTER($C$2:$C$1001,$B$2:$B$1001=B321)))=1,1,0)</f>
        <v>0</v>
      </c>
    </row>
    <row r="322" spans="1:11" x14ac:dyDescent="0.2">
      <c r="A322" t="s">
        <v>344</v>
      </c>
      <c r="B322" t="s">
        <v>270</v>
      </c>
      <c r="C322" t="s">
        <v>274</v>
      </c>
      <c r="D322" t="s">
        <v>1054</v>
      </c>
      <c r="E322">
        <v>39</v>
      </c>
      <c r="F322">
        <v>226</v>
      </c>
      <c r="G322">
        <v>265.92</v>
      </c>
      <c r="H322">
        <v>5</v>
      </c>
      <c r="I322">
        <v>1</v>
      </c>
      <c r="J322">
        <v>3</v>
      </c>
      <c r="K322" cm="1">
        <f t="array" ref="K322">IF(COUNTA(_xlfn.UNIQUE(_xlfn._xlws.FILTER($C$2:$C$1001,$B$2:$B$1001=B322)))=1,1,0)</f>
        <v>0</v>
      </c>
    </row>
    <row r="323" spans="1:11" x14ac:dyDescent="0.2">
      <c r="A323" t="s">
        <v>345</v>
      </c>
      <c r="B323" t="s">
        <v>270</v>
      </c>
      <c r="C323" t="s">
        <v>18</v>
      </c>
      <c r="D323" t="s">
        <v>1048</v>
      </c>
      <c r="E323">
        <v>21</v>
      </c>
      <c r="F323">
        <v>288</v>
      </c>
      <c r="G323">
        <v>118.46</v>
      </c>
      <c r="H323">
        <v>4</v>
      </c>
      <c r="I323">
        <v>2</v>
      </c>
      <c r="J323">
        <v>4</v>
      </c>
      <c r="K323" cm="1">
        <f t="array" ref="K323">IF(COUNTA(_xlfn.UNIQUE(_xlfn._xlws.FILTER($C$2:$C$1001,$B$2:$B$1001=B323)))=1,1,0)</f>
        <v>0</v>
      </c>
    </row>
    <row r="324" spans="1:11" x14ac:dyDescent="0.2">
      <c r="A324" t="s">
        <v>346</v>
      </c>
      <c r="B324" t="s">
        <v>273</v>
      </c>
      <c r="C324" t="s">
        <v>18</v>
      </c>
      <c r="D324" t="s">
        <v>1050</v>
      </c>
      <c r="E324">
        <v>20</v>
      </c>
      <c r="F324">
        <v>154</v>
      </c>
      <c r="G324">
        <v>233.71</v>
      </c>
      <c r="H324">
        <v>3</v>
      </c>
      <c r="I324">
        <v>2</v>
      </c>
      <c r="J324">
        <v>4</v>
      </c>
      <c r="K324" cm="1">
        <f t="array" ref="K324">IF(COUNTA(_xlfn.UNIQUE(_xlfn._xlws.FILTER($C$2:$C$1001,$B$2:$B$1001=B324)))=1,1,0)</f>
        <v>0</v>
      </c>
    </row>
    <row r="325" spans="1:11" x14ac:dyDescent="0.2">
      <c r="A325" t="s">
        <v>347</v>
      </c>
      <c r="B325" t="s">
        <v>281</v>
      </c>
      <c r="C325" t="s">
        <v>274</v>
      </c>
      <c r="D325" t="s">
        <v>1051</v>
      </c>
      <c r="E325">
        <v>8</v>
      </c>
      <c r="F325">
        <v>88</v>
      </c>
      <c r="G325">
        <v>123.15</v>
      </c>
      <c r="H325">
        <v>5</v>
      </c>
      <c r="I325">
        <v>1</v>
      </c>
      <c r="J325">
        <v>4</v>
      </c>
      <c r="K325" cm="1">
        <f t="array" ref="K325">IF(COUNTA(_xlfn.UNIQUE(_xlfn._xlws.FILTER($C$2:$C$1001,$B$2:$B$1001=B325)))=1,1,0)</f>
        <v>0</v>
      </c>
    </row>
    <row r="326" spans="1:11" x14ac:dyDescent="0.2">
      <c r="A326" t="s">
        <v>348</v>
      </c>
      <c r="B326" t="s">
        <v>273</v>
      </c>
      <c r="C326" t="s">
        <v>274</v>
      </c>
      <c r="D326" t="s">
        <v>1049</v>
      </c>
      <c r="E326">
        <v>71</v>
      </c>
      <c r="F326">
        <v>345</v>
      </c>
      <c r="G326">
        <v>206.79</v>
      </c>
      <c r="H326">
        <v>5</v>
      </c>
      <c r="I326">
        <v>2</v>
      </c>
      <c r="J326">
        <v>4</v>
      </c>
      <c r="K326" cm="1">
        <f t="array" ref="K326">IF(COUNTA(_xlfn.UNIQUE(_xlfn._xlws.FILTER($C$2:$C$1001,$B$2:$B$1001=B326)))=1,1,0)</f>
        <v>0</v>
      </c>
    </row>
    <row r="327" spans="1:11" x14ac:dyDescent="0.2">
      <c r="A327" t="s">
        <v>349</v>
      </c>
      <c r="B327" t="s">
        <v>270</v>
      </c>
      <c r="C327" t="s">
        <v>18</v>
      </c>
      <c r="D327" t="s">
        <v>1048</v>
      </c>
      <c r="E327">
        <v>30</v>
      </c>
      <c r="F327">
        <v>262</v>
      </c>
      <c r="G327">
        <v>108.75</v>
      </c>
      <c r="H327">
        <v>3</v>
      </c>
      <c r="I327">
        <v>2</v>
      </c>
      <c r="J327">
        <v>4</v>
      </c>
      <c r="K327" cm="1">
        <f t="array" ref="K327">IF(COUNTA(_xlfn.UNIQUE(_xlfn._xlws.FILTER($C$2:$C$1001,$B$2:$B$1001=B327)))=1,1,0)</f>
        <v>0</v>
      </c>
    </row>
    <row r="328" spans="1:11" x14ac:dyDescent="0.2">
      <c r="A328" t="s">
        <v>350</v>
      </c>
      <c r="B328" t="s">
        <v>273</v>
      </c>
      <c r="C328" t="s">
        <v>18</v>
      </c>
      <c r="D328" t="s">
        <v>1050</v>
      </c>
      <c r="E328">
        <v>59</v>
      </c>
      <c r="F328">
        <v>156</v>
      </c>
      <c r="G328">
        <v>177.48</v>
      </c>
      <c r="H328">
        <v>5</v>
      </c>
      <c r="I328">
        <v>1</v>
      </c>
      <c r="J328">
        <v>4</v>
      </c>
      <c r="K328" cm="1">
        <f t="array" ref="K328">IF(COUNTA(_xlfn.UNIQUE(_xlfn._xlws.FILTER($C$2:$C$1001,$B$2:$B$1001=B328)))=1,1,0)</f>
        <v>0</v>
      </c>
    </row>
    <row r="329" spans="1:11" x14ac:dyDescent="0.2">
      <c r="A329" t="s">
        <v>351</v>
      </c>
      <c r="B329" t="s">
        <v>281</v>
      </c>
      <c r="C329" t="s">
        <v>274</v>
      </c>
      <c r="D329" t="s">
        <v>1051</v>
      </c>
      <c r="E329">
        <v>69</v>
      </c>
      <c r="F329">
        <v>403</v>
      </c>
      <c r="G329">
        <v>189.28</v>
      </c>
      <c r="H329">
        <v>5</v>
      </c>
      <c r="I329">
        <v>1</v>
      </c>
      <c r="J329">
        <v>4</v>
      </c>
      <c r="K329" cm="1">
        <f t="array" ref="K329">IF(COUNTA(_xlfn.UNIQUE(_xlfn._xlws.FILTER($C$2:$C$1001,$B$2:$B$1001=B329)))=1,1,0)</f>
        <v>0</v>
      </c>
    </row>
    <row r="330" spans="1:11" x14ac:dyDescent="0.2">
      <c r="A330" t="s">
        <v>352</v>
      </c>
      <c r="B330" t="s">
        <v>270</v>
      </c>
      <c r="C330" t="s">
        <v>18</v>
      </c>
      <c r="D330" t="s">
        <v>1048</v>
      </c>
      <c r="E330">
        <v>62</v>
      </c>
      <c r="F330">
        <v>362</v>
      </c>
      <c r="G330">
        <v>216.44</v>
      </c>
      <c r="H330">
        <v>5</v>
      </c>
      <c r="I330">
        <v>1</v>
      </c>
      <c r="J330">
        <v>4</v>
      </c>
      <c r="K330" cm="1">
        <f t="array" ref="K330">IF(COUNTA(_xlfn.UNIQUE(_xlfn._xlws.FILTER($C$2:$C$1001,$B$2:$B$1001=B330)))=1,1,0)</f>
        <v>0</v>
      </c>
    </row>
    <row r="331" spans="1:11" x14ac:dyDescent="0.2">
      <c r="A331" t="s">
        <v>353</v>
      </c>
      <c r="B331" t="s">
        <v>285</v>
      </c>
      <c r="C331" t="s">
        <v>274</v>
      </c>
      <c r="D331" t="s">
        <v>1052</v>
      </c>
      <c r="E331">
        <v>80</v>
      </c>
      <c r="F331">
        <v>105</v>
      </c>
      <c r="G331">
        <v>128.52000000000001</v>
      </c>
      <c r="H331">
        <v>5</v>
      </c>
      <c r="I331">
        <v>1</v>
      </c>
      <c r="J331">
        <v>3</v>
      </c>
      <c r="K331" cm="1">
        <f t="array" ref="K331">IF(COUNTA(_xlfn.UNIQUE(_xlfn._xlws.FILTER($C$2:$C$1001,$B$2:$B$1001=B331)))=1,1,0)</f>
        <v>0</v>
      </c>
    </row>
    <row r="332" spans="1:11" x14ac:dyDescent="0.2">
      <c r="A332" t="s">
        <v>354</v>
      </c>
      <c r="B332" t="s">
        <v>285</v>
      </c>
      <c r="C332" t="s">
        <v>274</v>
      </c>
      <c r="D332" t="s">
        <v>1052</v>
      </c>
      <c r="E332">
        <v>54</v>
      </c>
      <c r="F332">
        <v>175</v>
      </c>
      <c r="G332">
        <v>101.34</v>
      </c>
      <c r="H332">
        <v>4</v>
      </c>
      <c r="I332">
        <v>2</v>
      </c>
      <c r="J332">
        <v>3</v>
      </c>
      <c r="K332" cm="1">
        <f t="array" ref="K332">IF(COUNTA(_xlfn.UNIQUE(_xlfn._xlws.FILTER($C$2:$C$1001,$B$2:$B$1001=B332)))=1,1,0)</f>
        <v>0</v>
      </c>
    </row>
    <row r="333" spans="1:11" x14ac:dyDescent="0.2">
      <c r="A333" t="s">
        <v>355</v>
      </c>
      <c r="B333" t="s">
        <v>285</v>
      </c>
      <c r="C333" t="s">
        <v>274</v>
      </c>
      <c r="D333" t="s">
        <v>1052</v>
      </c>
      <c r="E333">
        <v>65</v>
      </c>
      <c r="F333">
        <v>80</v>
      </c>
      <c r="G333">
        <v>211.94</v>
      </c>
      <c r="H333">
        <v>4</v>
      </c>
      <c r="I333">
        <v>2</v>
      </c>
      <c r="J333">
        <v>4</v>
      </c>
      <c r="K333" cm="1">
        <f t="array" ref="K333">IF(COUNTA(_xlfn.UNIQUE(_xlfn._xlws.FILTER($C$2:$C$1001,$B$2:$B$1001=B333)))=1,1,0)</f>
        <v>0</v>
      </c>
    </row>
    <row r="334" spans="1:11" x14ac:dyDescent="0.2">
      <c r="A334" t="s">
        <v>356</v>
      </c>
      <c r="B334" t="s">
        <v>270</v>
      </c>
      <c r="C334" t="s">
        <v>274</v>
      </c>
      <c r="D334" t="s">
        <v>1054</v>
      </c>
      <c r="E334">
        <v>57</v>
      </c>
      <c r="F334">
        <v>204</v>
      </c>
      <c r="G334">
        <v>176.84</v>
      </c>
      <c r="H334">
        <v>5</v>
      </c>
      <c r="I334">
        <v>1</v>
      </c>
      <c r="J334">
        <v>4</v>
      </c>
      <c r="K334" cm="1">
        <f t="array" ref="K334">IF(COUNTA(_xlfn.UNIQUE(_xlfn._xlws.FILTER($C$2:$C$1001,$B$2:$B$1001=B334)))=1,1,0)</f>
        <v>0</v>
      </c>
    </row>
    <row r="335" spans="1:11" x14ac:dyDescent="0.2">
      <c r="A335" t="s">
        <v>357</v>
      </c>
      <c r="B335" t="s">
        <v>281</v>
      </c>
      <c r="C335" t="s">
        <v>274</v>
      </c>
      <c r="D335" t="s">
        <v>1051</v>
      </c>
      <c r="E335">
        <v>48</v>
      </c>
      <c r="F335">
        <v>294</v>
      </c>
      <c r="G335">
        <v>129.41</v>
      </c>
      <c r="H335">
        <v>4</v>
      </c>
      <c r="I335">
        <v>1</v>
      </c>
      <c r="J335">
        <v>4</v>
      </c>
      <c r="K335" cm="1">
        <f t="array" ref="K335">IF(COUNTA(_xlfn.UNIQUE(_xlfn._xlws.FILTER($C$2:$C$1001,$B$2:$B$1001=B335)))=1,1,0)</f>
        <v>0</v>
      </c>
    </row>
    <row r="336" spans="1:11" x14ac:dyDescent="0.2">
      <c r="A336" t="s">
        <v>358</v>
      </c>
      <c r="B336" t="s">
        <v>285</v>
      </c>
      <c r="C336" t="s">
        <v>18</v>
      </c>
      <c r="D336" t="s">
        <v>1055</v>
      </c>
      <c r="E336">
        <v>65</v>
      </c>
      <c r="F336">
        <v>245</v>
      </c>
      <c r="G336">
        <v>277.68</v>
      </c>
      <c r="H336">
        <v>3</v>
      </c>
      <c r="I336">
        <v>1</v>
      </c>
      <c r="J336">
        <v>4</v>
      </c>
      <c r="K336" cm="1">
        <f t="array" ref="K336">IF(COUNTA(_xlfn.UNIQUE(_xlfn._xlws.FILTER($C$2:$C$1001,$B$2:$B$1001=B336)))=1,1,0)</f>
        <v>0</v>
      </c>
    </row>
    <row r="337" spans="1:11" x14ac:dyDescent="0.2">
      <c r="A337" t="s">
        <v>359</v>
      </c>
      <c r="B337" t="s">
        <v>270</v>
      </c>
      <c r="C337" t="s">
        <v>18</v>
      </c>
      <c r="D337" t="s">
        <v>1048</v>
      </c>
      <c r="E337">
        <v>55</v>
      </c>
      <c r="F337">
        <v>273</v>
      </c>
      <c r="G337">
        <v>106.19</v>
      </c>
      <c r="H337">
        <v>4</v>
      </c>
      <c r="I337">
        <v>1</v>
      </c>
      <c r="J337">
        <v>4</v>
      </c>
      <c r="K337" cm="1">
        <f t="array" ref="K337">IF(COUNTA(_xlfn.UNIQUE(_xlfn._xlws.FILTER($C$2:$C$1001,$B$2:$B$1001=B337)))=1,1,0)</f>
        <v>0</v>
      </c>
    </row>
    <row r="338" spans="1:11" x14ac:dyDescent="0.2">
      <c r="A338" t="s">
        <v>360</v>
      </c>
      <c r="B338" t="s">
        <v>273</v>
      </c>
      <c r="C338" t="s">
        <v>274</v>
      </c>
      <c r="D338" t="s">
        <v>1049</v>
      </c>
      <c r="E338">
        <v>57</v>
      </c>
      <c r="F338">
        <v>428</v>
      </c>
      <c r="G338">
        <v>252.38</v>
      </c>
      <c r="H338">
        <v>5</v>
      </c>
      <c r="I338">
        <v>1</v>
      </c>
      <c r="J338">
        <v>3</v>
      </c>
      <c r="K338" cm="1">
        <f t="array" ref="K338">IF(COUNTA(_xlfn.UNIQUE(_xlfn._xlws.FILTER($C$2:$C$1001,$B$2:$B$1001=B338)))=1,1,0)</f>
        <v>0</v>
      </c>
    </row>
    <row r="339" spans="1:11" x14ac:dyDescent="0.2">
      <c r="A339" t="s">
        <v>361</v>
      </c>
      <c r="B339" t="s">
        <v>281</v>
      </c>
      <c r="C339" t="s">
        <v>274</v>
      </c>
      <c r="D339" t="s">
        <v>1051</v>
      </c>
      <c r="E339">
        <v>69</v>
      </c>
      <c r="F339">
        <v>70</v>
      </c>
      <c r="G339">
        <v>168.49</v>
      </c>
      <c r="H339">
        <v>5</v>
      </c>
      <c r="I339">
        <v>1</v>
      </c>
      <c r="J339">
        <v>4</v>
      </c>
      <c r="K339" cm="1">
        <f t="array" ref="K339">IF(COUNTA(_xlfn.UNIQUE(_xlfn._xlws.FILTER($C$2:$C$1001,$B$2:$B$1001=B339)))=1,1,0)</f>
        <v>0</v>
      </c>
    </row>
    <row r="340" spans="1:11" x14ac:dyDescent="0.2">
      <c r="A340" t="s">
        <v>362</v>
      </c>
      <c r="B340" t="s">
        <v>285</v>
      </c>
      <c r="C340" t="s">
        <v>18</v>
      </c>
      <c r="D340" t="s">
        <v>1055</v>
      </c>
      <c r="E340">
        <v>88</v>
      </c>
      <c r="F340">
        <v>403</v>
      </c>
      <c r="G340">
        <v>130.1</v>
      </c>
      <c r="H340">
        <v>3</v>
      </c>
      <c r="I340">
        <v>2</v>
      </c>
      <c r="J340">
        <v>3</v>
      </c>
      <c r="K340" cm="1">
        <f t="array" ref="K340">IF(COUNTA(_xlfn.UNIQUE(_xlfn._xlws.FILTER($C$2:$C$1001,$B$2:$B$1001=B340)))=1,1,0)</f>
        <v>0</v>
      </c>
    </row>
    <row r="341" spans="1:11" x14ac:dyDescent="0.2">
      <c r="A341" t="s">
        <v>363</v>
      </c>
      <c r="B341" t="s">
        <v>285</v>
      </c>
      <c r="C341" t="s">
        <v>274</v>
      </c>
      <c r="D341" t="s">
        <v>1052</v>
      </c>
      <c r="E341">
        <v>42</v>
      </c>
      <c r="F341">
        <v>324</v>
      </c>
      <c r="G341">
        <v>258.5</v>
      </c>
      <c r="H341">
        <v>4</v>
      </c>
      <c r="I341">
        <v>1</v>
      </c>
      <c r="J341">
        <v>3</v>
      </c>
      <c r="K341" cm="1">
        <f t="array" ref="K341">IF(COUNTA(_xlfn.UNIQUE(_xlfn._xlws.FILTER($C$2:$C$1001,$B$2:$B$1001=B341)))=1,1,0)</f>
        <v>0</v>
      </c>
    </row>
    <row r="342" spans="1:11" x14ac:dyDescent="0.2">
      <c r="A342" t="s">
        <v>364</v>
      </c>
      <c r="B342" t="s">
        <v>281</v>
      </c>
      <c r="C342" t="s">
        <v>18</v>
      </c>
      <c r="D342" t="s">
        <v>1053</v>
      </c>
      <c r="E342">
        <v>27</v>
      </c>
      <c r="F342">
        <v>166</v>
      </c>
      <c r="G342">
        <v>292.81</v>
      </c>
      <c r="H342">
        <v>5</v>
      </c>
      <c r="I342">
        <v>1</v>
      </c>
      <c r="J342">
        <v>4</v>
      </c>
      <c r="K342" cm="1">
        <f t="array" ref="K342">IF(COUNTA(_xlfn.UNIQUE(_xlfn._xlws.FILTER($C$2:$C$1001,$B$2:$B$1001=B342)))=1,1,0)</f>
        <v>0</v>
      </c>
    </row>
    <row r="343" spans="1:11" x14ac:dyDescent="0.2">
      <c r="A343" t="s">
        <v>365</v>
      </c>
      <c r="B343" t="s">
        <v>281</v>
      </c>
      <c r="C343" t="s">
        <v>274</v>
      </c>
      <c r="D343" t="s">
        <v>1051</v>
      </c>
      <c r="E343">
        <v>25</v>
      </c>
      <c r="F343">
        <v>233</v>
      </c>
      <c r="G343">
        <v>124.96</v>
      </c>
      <c r="H343">
        <v>4</v>
      </c>
      <c r="I343">
        <v>1</v>
      </c>
      <c r="J343">
        <v>4</v>
      </c>
      <c r="K343" cm="1">
        <f t="array" ref="K343">IF(COUNTA(_xlfn.UNIQUE(_xlfn._xlws.FILTER($C$2:$C$1001,$B$2:$B$1001=B343)))=1,1,0)</f>
        <v>0</v>
      </c>
    </row>
    <row r="344" spans="1:11" x14ac:dyDescent="0.2">
      <c r="A344" t="s">
        <v>366</v>
      </c>
      <c r="B344" t="s">
        <v>281</v>
      </c>
      <c r="C344" t="s">
        <v>274</v>
      </c>
      <c r="D344" t="s">
        <v>1051</v>
      </c>
      <c r="E344">
        <v>39</v>
      </c>
      <c r="F344">
        <v>401</v>
      </c>
      <c r="G344">
        <v>196.68</v>
      </c>
      <c r="H344">
        <v>5</v>
      </c>
      <c r="I344">
        <v>3</v>
      </c>
      <c r="J344">
        <v>4</v>
      </c>
      <c r="K344" cm="1">
        <f t="array" ref="K344">IF(COUNTA(_xlfn.UNIQUE(_xlfn._xlws.FILTER($C$2:$C$1001,$B$2:$B$1001=B344)))=1,1,0)</f>
        <v>0</v>
      </c>
    </row>
    <row r="345" spans="1:11" x14ac:dyDescent="0.2">
      <c r="A345" t="s">
        <v>367</v>
      </c>
      <c r="B345" t="s">
        <v>281</v>
      </c>
      <c r="C345" t="s">
        <v>274</v>
      </c>
      <c r="D345" t="s">
        <v>1051</v>
      </c>
      <c r="E345">
        <v>59</v>
      </c>
      <c r="F345">
        <v>252</v>
      </c>
      <c r="G345">
        <v>177.31</v>
      </c>
      <c r="H345">
        <v>4</v>
      </c>
      <c r="I345">
        <v>2</v>
      </c>
      <c r="J345">
        <v>4</v>
      </c>
      <c r="K345" cm="1">
        <f t="array" ref="K345">IF(COUNTA(_xlfn.UNIQUE(_xlfn._xlws.FILTER($C$2:$C$1001,$B$2:$B$1001=B345)))=1,1,0)</f>
        <v>0</v>
      </c>
    </row>
    <row r="346" spans="1:11" x14ac:dyDescent="0.2">
      <c r="A346" t="s">
        <v>368</v>
      </c>
      <c r="B346" t="s">
        <v>281</v>
      </c>
      <c r="C346" t="s">
        <v>18</v>
      </c>
      <c r="D346" t="s">
        <v>1053</v>
      </c>
      <c r="E346">
        <v>54</v>
      </c>
      <c r="F346">
        <v>224</v>
      </c>
      <c r="G346">
        <v>188.69</v>
      </c>
      <c r="H346">
        <v>3</v>
      </c>
      <c r="I346">
        <v>3</v>
      </c>
      <c r="J346">
        <v>3</v>
      </c>
      <c r="K346" cm="1">
        <f t="array" ref="K346">IF(COUNTA(_xlfn.UNIQUE(_xlfn._xlws.FILTER($C$2:$C$1001,$B$2:$B$1001=B346)))=1,1,0)</f>
        <v>0</v>
      </c>
    </row>
    <row r="347" spans="1:11" x14ac:dyDescent="0.2">
      <c r="A347" t="s">
        <v>369</v>
      </c>
      <c r="B347" t="s">
        <v>270</v>
      </c>
      <c r="C347" t="s">
        <v>274</v>
      </c>
      <c r="D347" t="s">
        <v>1054</v>
      </c>
      <c r="E347">
        <v>44</v>
      </c>
      <c r="F347">
        <v>386</v>
      </c>
      <c r="G347">
        <v>270.79000000000002</v>
      </c>
      <c r="H347">
        <v>5</v>
      </c>
      <c r="I347">
        <v>3</v>
      </c>
      <c r="J347">
        <v>3</v>
      </c>
      <c r="K347" cm="1">
        <f t="array" ref="K347">IF(COUNTA(_xlfn.UNIQUE(_xlfn._xlws.FILTER($C$2:$C$1001,$B$2:$B$1001=B347)))=1,1,0)</f>
        <v>0</v>
      </c>
    </row>
    <row r="348" spans="1:11" x14ac:dyDescent="0.2">
      <c r="A348" t="s">
        <v>370</v>
      </c>
      <c r="B348" t="s">
        <v>270</v>
      </c>
      <c r="C348" t="s">
        <v>274</v>
      </c>
      <c r="D348" t="s">
        <v>1054</v>
      </c>
      <c r="E348">
        <v>49</v>
      </c>
      <c r="F348">
        <v>238</v>
      </c>
      <c r="G348">
        <v>202.09</v>
      </c>
      <c r="H348">
        <v>4</v>
      </c>
      <c r="I348">
        <v>1</v>
      </c>
      <c r="J348">
        <v>3</v>
      </c>
      <c r="K348" cm="1">
        <f t="array" ref="K348">IF(COUNTA(_xlfn.UNIQUE(_xlfn._xlws.FILTER($C$2:$C$1001,$B$2:$B$1001=B348)))=1,1,0)</f>
        <v>0</v>
      </c>
    </row>
    <row r="349" spans="1:11" x14ac:dyDescent="0.2">
      <c r="A349" t="s">
        <v>371</v>
      </c>
      <c r="B349" t="s">
        <v>270</v>
      </c>
      <c r="C349" t="s">
        <v>274</v>
      </c>
      <c r="D349" t="s">
        <v>1054</v>
      </c>
      <c r="E349">
        <v>62</v>
      </c>
      <c r="F349">
        <v>175</v>
      </c>
      <c r="G349">
        <v>126.89</v>
      </c>
      <c r="H349">
        <v>4</v>
      </c>
      <c r="I349">
        <v>3</v>
      </c>
      <c r="J349">
        <v>3</v>
      </c>
      <c r="K349" cm="1">
        <f t="array" ref="K349">IF(COUNTA(_xlfn.UNIQUE(_xlfn._xlws.FILTER($C$2:$C$1001,$B$2:$B$1001=B349)))=1,1,0)</f>
        <v>0</v>
      </c>
    </row>
    <row r="350" spans="1:11" x14ac:dyDescent="0.2">
      <c r="A350" t="s">
        <v>372</v>
      </c>
      <c r="B350" t="s">
        <v>281</v>
      </c>
      <c r="C350" t="s">
        <v>18</v>
      </c>
      <c r="D350" t="s">
        <v>1053</v>
      </c>
      <c r="E350">
        <v>13</v>
      </c>
      <c r="F350">
        <v>68</v>
      </c>
      <c r="G350">
        <v>101.77</v>
      </c>
      <c r="H350">
        <v>5</v>
      </c>
      <c r="I350">
        <v>2</v>
      </c>
      <c r="J350">
        <v>4</v>
      </c>
      <c r="K350" cm="1">
        <f t="array" ref="K350">IF(COUNTA(_xlfn.UNIQUE(_xlfn._xlws.FILTER($C$2:$C$1001,$B$2:$B$1001=B350)))=1,1,0)</f>
        <v>0</v>
      </c>
    </row>
    <row r="351" spans="1:11" x14ac:dyDescent="0.2">
      <c r="A351" t="s">
        <v>373</v>
      </c>
      <c r="B351" t="s">
        <v>270</v>
      </c>
      <c r="C351" t="s">
        <v>274</v>
      </c>
      <c r="D351" t="s">
        <v>1054</v>
      </c>
      <c r="E351">
        <v>7</v>
      </c>
      <c r="F351">
        <v>50</v>
      </c>
      <c r="G351">
        <v>266.83</v>
      </c>
      <c r="H351">
        <v>3</v>
      </c>
      <c r="I351">
        <v>1</v>
      </c>
      <c r="J351">
        <v>3</v>
      </c>
      <c r="K351" cm="1">
        <f t="array" ref="K351">IF(COUNTA(_xlfn.UNIQUE(_xlfn._xlws.FILTER($C$2:$C$1001,$B$2:$B$1001=B351)))=1,1,0)</f>
        <v>0</v>
      </c>
    </row>
    <row r="352" spans="1:11" x14ac:dyDescent="0.2">
      <c r="A352" t="s">
        <v>374</v>
      </c>
      <c r="B352" t="s">
        <v>285</v>
      </c>
      <c r="C352" t="s">
        <v>274</v>
      </c>
      <c r="D352" t="s">
        <v>1052</v>
      </c>
      <c r="E352">
        <v>81</v>
      </c>
      <c r="F352">
        <v>72</v>
      </c>
      <c r="G352">
        <v>120.88</v>
      </c>
      <c r="H352">
        <v>4</v>
      </c>
      <c r="I352">
        <v>3</v>
      </c>
      <c r="J352">
        <v>3</v>
      </c>
      <c r="K352" cm="1">
        <f t="array" ref="K352">IF(COUNTA(_xlfn.UNIQUE(_xlfn._xlws.FILTER($C$2:$C$1001,$B$2:$B$1001=B352)))=1,1,0)</f>
        <v>0</v>
      </c>
    </row>
    <row r="353" spans="1:11" x14ac:dyDescent="0.2">
      <c r="A353" t="s">
        <v>375</v>
      </c>
      <c r="B353" t="s">
        <v>270</v>
      </c>
      <c r="C353" t="s">
        <v>18</v>
      </c>
      <c r="D353" t="s">
        <v>1048</v>
      </c>
      <c r="E353">
        <v>22</v>
      </c>
      <c r="F353">
        <v>222</v>
      </c>
      <c r="G353">
        <v>226.42</v>
      </c>
      <c r="H353">
        <v>5</v>
      </c>
      <c r="I353">
        <v>2</v>
      </c>
      <c r="J353">
        <v>4</v>
      </c>
      <c r="K353" cm="1">
        <f t="array" ref="K353">IF(COUNTA(_xlfn.UNIQUE(_xlfn._xlws.FILTER($C$2:$C$1001,$B$2:$B$1001=B353)))=1,1,0)</f>
        <v>0</v>
      </c>
    </row>
    <row r="354" spans="1:11" x14ac:dyDescent="0.2">
      <c r="A354" t="s">
        <v>376</v>
      </c>
      <c r="B354" t="s">
        <v>281</v>
      </c>
      <c r="C354" t="s">
        <v>274</v>
      </c>
      <c r="D354" t="s">
        <v>1051</v>
      </c>
      <c r="E354">
        <v>19</v>
      </c>
      <c r="F354">
        <v>283</v>
      </c>
      <c r="G354">
        <v>200.12</v>
      </c>
      <c r="H354">
        <v>5</v>
      </c>
      <c r="I354">
        <v>1</v>
      </c>
      <c r="J354">
        <v>4</v>
      </c>
      <c r="K354" cm="1">
        <f t="array" ref="K354">IF(COUNTA(_xlfn.UNIQUE(_xlfn._xlws.FILTER($C$2:$C$1001,$B$2:$B$1001=B354)))=1,1,0)</f>
        <v>0</v>
      </c>
    </row>
    <row r="355" spans="1:11" x14ac:dyDescent="0.2">
      <c r="A355" t="s">
        <v>377</v>
      </c>
      <c r="B355" t="s">
        <v>285</v>
      </c>
      <c r="C355" t="s">
        <v>274</v>
      </c>
      <c r="D355" t="s">
        <v>1052</v>
      </c>
      <c r="E355">
        <v>33</v>
      </c>
      <c r="F355">
        <v>344</v>
      </c>
      <c r="G355">
        <v>146.47999999999999</v>
      </c>
      <c r="H355">
        <v>4</v>
      </c>
      <c r="I355">
        <v>2</v>
      </c>
      <c r="J355">
        <v>3</v>
      </c>
      <c r="K355" cm="1">
        <f t="array" ref="K355">IF(COUNTA(_xlfn.UNIQUE(_xlfn._xlws.FILTER($C$2:$C$1001,$B$2:$B$1001=B355)))=1,1,0)</f>
        <v>0</v>
      </c>
    </row>
    <row r="356" spans="1:11" x14ac:dyDescent="0.2">
      <c r="A356" t="s">
        <v>378</v>
      </c>
      <c r="B356" t="s">
        <v>281</v>
      </c>
      <c r="C356" t="s">
        <v>18</v>
      </c>
      <c r="D356" t="s">
        <v>1053</v>
      </c>
      <c r="E356">
        <v>25</v>
      </c>
      <c r="F356">
        <v>370</v>
      </c>
      <c r="G356">
        <v>195.29</v>
      </c>
      <c r="H356">
        <v>3</v>
      </c>
      <c r="I356">
        <v>1</v>
      </c>
      <c r="J356">
        <v>3</v>
      </c>
      <c r="K356" cm="1">
        <f t="array" ref="K356">IF(COUNTA(_xlfn.UNIQUE(_xlfn._xlws.FILTER($C$2:$C$1001,$B$2:$B$1001=B356)))=1,1,0)</f>
        <v>0</v>
      </c>
    </row>
    <row r="357" spans="1:11" x14ac:dyDescent="0.2">
      <c r="A357" t="s">
        <v>379</v>
      </c>
      <c r="B357" t="s">
        <v>273</v>
      </c>
      <c r="C357" t="s">
        <v>274</v>
      </c>
      <c r="D357" t="s">
        <v>1049</v>
      </c>
      <c r="E357">
        <v>16</v>
      </c>
      <c r="F357">
        <v>80</v>
      </c>
      <c r="G357">
        <v>251.92</v>
      </c>
      <c r="H357">
        <v>4</v>
      </c>
      <c r="I357">
        <v>1</v>
      </c>
      <c r="J357">
        <v>3</v>
      </c>
      <c r="K357" cm="1">
        <f t="array" ref="K357">IF(COUNTA(_xlfn.UNIQUE(_xlfn._xlws.FILTER($C$2:$C$1001,$B$2:$B$1001=B357)))=1,1,0)</f>
        <v>0</v>
      </c>
    </row>
    <row r="358" spans="1:11" x14ac:dyDescent="0.2">
      <c r="A358" t="s">
        <v>380</v>
      </c>
      <c r="B358" t="s">
        <v>285</v>
      </c>
      <c r="C358" t="s">
        <v>274</v>
      </c>
      <c r="D358" t="s">
        <v>1052</v>
      </c>
      <c r="E358">
        <v>30</v>
      </c>
      <c r="F358">
        <v>209</v>
      </c>
      <c r="G358">
        <v>114.36</v>
      </c>
      <c r="H358">
        <v>5</v>
      </c>
      <c r="I358">
        <v>1</v>
      </c>
      <c r="J358">
        <v>4</v>
      </c>
      <c r="K358" cm="1">
        <f t="array" ref="K358">IF(COUNTA(_xlfn.UNIQUE(_xlfn._xlws.FILTER($C$2:$C$1001,$B$2:$B$1001=B358)))=1,1,0)</f>
        <v>0</v>
      </c>
    </row>
    <row r="359" spans="1:11" x14ac:dyDescent="0.2">
      <c r="A359" t="s">
        <v>381</v>
      </c>
      <c r="B359" t="s">
        <v>270</v>
      </c>
      <c r="C359" t="s">
        <v>274</v>
      </c>
      <c r="D359" t="s">
        <v>1054</v>
      </c>
      <c r="E359">
        <v>84</v>
      </c>
      <c r="F359">
        <v>254</v>
      </c>
      <c r="G359">
        <v>204.03</v>
      </c>
      <c r="H359">
        <v>5</v>
      </c>
      <c r="I359">
        <v>3</v>
      </c>
      <c r="J359">
        <v>3</v>
      </c>
      <c r="K359" cm="1">
        <f t="array" ref="K359">IF(COUNTA(_xlfn.UNIQUE(_xlfn._xlws.FILTER($C$2:$C$1001,$B$2:$B$1001=B359)))=1,1,0)</f>
        <v>0</v>
      </c>
    </row>
    <row r="360" spans="1:11" x14ac:dyDescent="0.2">
      <c r="A360" t="s">
        <v>382</v>
      </c>
      <c r="B360" t="s">
        <v>281</v>
      </c>
      <c r="C360" t="s">
        <v>18</v>
      </c>
      <c r="D360" t="s">
        <v>1053</v>
      </c>
      <c r="E360">
        <v>32</v>
      </c>
      <c r="F360">
        <v>124</v>
      </c>
      <c r="G360">
        <v>225.91</v>
      </c>
      <c r="H360">
        <v>4</v>
      </c>
      <c r="I360">
        <v>3</v>
      </c>
      <c r="J360">
        <v>3</v>
      </c>
      <c r="K360" cm="1">
        <f t="array" ref="K360">IF(COUNTA(_xlfn.UNIQUE(_xlfn._xlws.FILTER($C$2:$C$1001,$B$2:$B$1001=B360)))=1,1,0)</f>
        <v>0</v>
      </c>
    </row>
    <row r="361" spans="1:11" x14ac:dyDescent="0.2">
      <c r="A361" t="s">
        <v>383</v>
      </c>
      <c r="B361" t="s">
        <v>281</v>
      </c>
      <c r="C361" t="s">
        <v>18</v>
      </c>
      <c r="D361" t="s">
        <v>1053</v>
      </c>
      <c r="E361">
        <v>50</v>
      </c>
      <c r="F361">
        <v>392</v>
      </c>
      <c r="G361">
        <v>241.4</v>
      </c>
      <c r="H361">
        <v>5</v>
      </c>
      <c r="I361">
        <v>1</v>
      </c>
      <c r="J361">
        <v>4</v>
      </c>
      <c r="K361" cm="1">
        <f t="array" ref="K361">IF(COUNTA(_xlfn.UNIQUE(_xlfn._xlws.FILTER($C$2:$C$1001,$B$2:$B$1001=B361)))=1,1,0)</f>
        <v>0</v>
      </c>
    </row>
    <row r="362" spans="1:11" x14ac:dyDescent="0.2">
      <c r="A362" t="s">
        <v>384</v>
      </c>
      <c r="B362" t="s">
        <v>273</v>
      </c>
      <c r="C362" t="s">
        <v>18</v>
      </c>
      <c r="D362" t="s">
        <v>1050</v>
      </c>
      <c r="E362">
        <v>50</v>
      </c>
      <c r="F362">
        <v>170</v>
      </c>
      <c r="G362">
        <v>286.18</v>
      </c>
      <c r="H362">
        <v>5</v>
      </c>
      <c r="I362">
        <v>1</v>
      </c>
      <c r="J362">
        <v>3</v>
      </c>
      <c r="K362" cm="1">
        <f t="array" ref="K362">IF(COUNTA(_xlfn.UNIQUE(_xlfn._xlws.FILTER($C$2:$C$1001,$B$2:$B$1001=B362)))=1,1,0)</f>
        <v>0</v>
      </c>
    </row>
    <row r="363" spans="1:11" x14ac:dyDescent="0.2">
      <c r="A363" t="s">
        <v>385</v>
      </c>
      <c r="B363" t="s">
        <v>285</v>
      </c>
      <c r="C363" t="s">
        <v>274</v>
      </c>
      <c r="D363" t="s">
        <v>1052</v>
      </c>
      <c r="E363">
        <v>23</v>
      </c>
      <c r="F363">
        <v>190</v>
      </c>
      <c r="G363">
        <v>278.37</v>
      </c>
      <c r="H363">
        <v>5</v>
      </c>
      <c r="I363">
        <v>1</v>
      </c>
      <c r="J363">
        <v>3</v>
      </c>
      <c r="K363" cm="1">
        <f t="array" ref="K363">IF(COUNTA(_xlfn.UNIQUE(_xlfn._xlws.FILTER($C$2:$C$1001,$B$2:$B$1001=B363)))=1,1,0)</f>
        <v>0</v>
      </c>
    </row>
    <row r="364" spans="1:11" x14ac:dyDescent="0.2">
      <c r="A364" t="s">
        <v>386</v>
      </c>
      <c r="B364" t="s">
        <v>281</v>
      </c>
      <c r="C364" t="s">
        <v>18</v>
      </c>
      <c r="D364" t="s">
        <v>1053</v>
      </c>
      <c r="E364">
        <v>29</v>
      </c>
      <c r="F364">
        <v>365</v>
      </c>
      <c r="G364">
        <v>212.93</v>
      </c>
      <c r="H364">
        <v>4</v>
      </c>
      <c r="I364">
        <v>3</v>
      </c>
      <c r="J364">
        <v>3</v>
      </c>
      <c r="K364" cm="1">
        <f t="array" ref="K364">IF(COUNTA(_xlfn.UNIQUE(_xlfn._xlws.FILTER($C$2:$C$1001,$B$2:$B$1001=B364)))=1,1,0)</f>
        <v>0</v>
      </c>
    </row>
    <row r="365" spans="1:11" x14ac:dyDescent="0.2">
      <c r="A365" t="s">
        <v>387</v>
      </c>
      <c r="B365" t="s">
        <v>273</v>
      </c>
      <c r="C365" t="s">
        <v>18</v>
      </c>
      <c r="D365" t="s">
        <v>1050</v>
      </c>
      <c r="E365">
        <v>79</v>
      </c>
      <c r="F365">
        <v>466</v>
      </c>
      <c r="G365">
        <v>233.28</v>
      </c>
      <c r="H365">
        <v>5</v>
      </c>
      <c r="I365">
        <v>1</v>
      </c>
      <c r="J365">
        <v>4</v>
      </c>
      <c r="K365" cm="1">
        <f t="array" ref="K365">IF(COUNTA(_xlfn.UNIQUE(_xlfn._xlws.FILTER($C$2:$C$1001,$B$2:$B$1001=B365)))=1,1,0)</f>
        <v>0</v>
      </c>
    </row>
    <row r="366" spans="1:11" x14ac:dyDescent="0.2">
      <c r="A366" t="s">
        <v>388</v>
      </c>
      <c r="B366" t="s">
        <v>273</v>
      </c>
      <c r="C366" t="s">
        <v>274</v>
      </c>
      <c r="D366" t="s">
        <v>1049</v>
      </c>
      <c r="E366">
        <v>53</v>
      </c>
      <c r="F366">
        <v>342</v>
      </c>
      <c r="G366">
        <v>226.87</v>
      </c>
      <c r="H366">
        <v>5</v>
      </c>
      <c r="I366">
        <v>1</v>
      </c>
      <c r="J366">
        <v>4</v>
      </c>
      <c r="K366" cm="1">
        <f t="array" ref="K366">IF(COUNTA(_xlfn.UNIQUE(_xlfn._xlws.FILTER($C$2:$C$1001,$B$2:$B$1001=B366)))=1,1,0)</f>
        <v>0</v>
      </c>
    </row>
    <row r="367" spans="1:11" x14ac:dyDescent="0.2">
      <c r="A367" t="s">
        <v>389</v>
      </c>
      <c r="B367" t="s">
        <v>285</v>
      </c>
      <c r="C367" t="s">
        <v>18</v>
      </c>
      <c r="D367" t="s">
        <v>1055</v>
      </c>
      <c r="E367">
        <v>19</v>
      </c>
      <c r="F367">
        <v>285</v>
      </c>
      <c r="G367">
        <v>173.74</v>
      </c>
      <c r="H367">
        <v>4</v>
      </c>
      <c r="I367">
        <v>2</v>
      </c>
      <c r="J367">
        <v>3</v>
      </c>
      <c r="K367" cm="1">
        <f t="array" ref="K367">IF(COUNTA(_xlfn.UNIQUE(_xlfn._xlws.FILTER($C$2:$C$1001,$B$2:$B$1001=B367)))=1,1,0)</f>
        <v>0</v>
      </c>
    </row>
    <row r="368" spans="1:11" x14ac:dyDescent="0.2">
      <c r="A368" t="s">
        <v>390</v>
      </c>
      <c r="B368" t="s">
        <v>285</v>
      </c>
      <c r="C368" t="s">
        <v>274</v>
      </c>
      <c r="D368" t="s">
        <v>1052</v>
      </c>
      <c r="E368">
        <v>51</v>
      </c>
      <c r="F368">
        <v>378</v>
      </c>
      <c r="G368">
        <v>142.4</v>
      </c>
      <c r="H368">
        <v>4</v>
      </c>
      <c r="I368">
        <v>1</v>
      </c>
      <c r="J368">
        <v>4</v>
      </c>
      <c r="K368" cm="1">
        <f t="array" ref="K368">IF(COUNTA(_xlfn.UNIQUE(_xlfn._xlws.FILTER($C$2:$C$1001,$B$2:$B$1001=B368)))=1,1,0)</f>
        <v>0</v>
      </c>
    </row>
    <row r="369" spans="1:11" x14ac:dyDescent="0.2">
      <c r="A369" t="s">
        <v>391</v>
      </c>
      <c r="B369" t="s">
        <v>273</v>
      </c>
      <c r="C369" t="s">
        <v>274</v>
      </c>
      <c r="D369" t="s">
        <v>1049</v>
      </c>
      <c r="E369">
        <v>34</v>
      </c>
      <c r="F369">
        <v>312</v>
      </c>
      <c r="G369">
        <v>127.32</v>
      </c>
      <c r="H369">
        <v>5</v>
      </c>
      <c r="I369">
        <v>1</v>
      </c>
      <c r="J369">
        <v>4</v>
      </c>
      <c r="K369" cm="1">
        <f t="array" ref="K369">IF(COUNTA(_xlfn.UNIQUE(_xlfn._xlws.FILTER($C$2:$C$1001,$B$2:$B$1001=B369)))=1,1,0)</f>
        <v>0</v>
      </c>
    </row>
    <row r="370" spans="1:11" x14ac:dyDescent="0.2">
      <c r="A370" t="s">
        <v>392</v>
      </c>
      <c r="B370" t="s">
        <v>285</v>
      </c>
      <c r="C370" t="s">
        <v>18</v>
      </c>
      <c r="D370" t="s">
        <v>1055</v>
      </c>
      <c r="E370">
        <v>60</v>
      </c>
      <c r="F370">
        <v>70</v>
      </c>
      <c r="G370">
        <v>215.84</v>
      </c>
      <c r="H370">
        <v>4</v>
      </c>
      <c r="I370">
        <v>1</v>
      </c>
      <c r="J370">
        <v>4</v>
      </c>
      <c r="K370" cm="1">
        <f t="array" ref="K370">IF(COUNTA(_xlfn.UNIQUE(_xlfn._xlws.FILTER($C$2:$C$1001,$B$2:$B$1001=B370)))=1,1,0)</f>
        <v>0</v>
      </c>
    </row>
    <row r="371" spans="1:11" x14ac:dyDescent="0.2">
      <c r="A371" t="s">
        <v>393</v>
      </c>
      <c r="B371" t="s">
        <v>281</v>
      </c>
      <c r="C371" t="s">
        <v>274</v>
      </c>
      <c r="D371" t="s">
        <v>1051</v>
      </c>
      <c r="E371">
        <v>87</v>
      </c>
      <c r="F371">
        <v>123</v>
      </c>
      <c r="G371">
        <v>119.97</v>
      </c>
      <c r="H371">
        <v>4</v>
      </c>
      <c r="I371">
        <v>2</v>
      </c>
      <c r="J371">
        <v>4</v>
      </c>
      <c r="K371" cm="1">
        <f t="array" ref="K371">IF(COUNTA(_xlfn.UNIQUE(_xlfn._xlws.FILTER($C$2:$C$1001,$B$2:$B$1001=B371)))=1,1,0)</f>
        <v>0</v>
      </c>
    </row>
    <row r="372" spans="1:11" x14ac:dyDescent="0.2">
      <c r="A372" t="s">
        <v>394</v>
      </c>
      <c r="B372" t="s">
        <v>285</v>
      </c>
      <c r="C372" t="s">
        <v>274</v>
      </c>
      <c r="D372" t="s">
        <v>1052</v>
      </c>
      <c r="E372">
        <v>49</v>
      </c>
      <c r="F372">
        <v>436</v>
      </c>
      <c r="G372">
        <v>106.28</v>
      </c>
      <c r="H372">
        <v>5</v>
      </c>
      <c r="I372">
        <v>1</v>
      </c>
      <c r="J372">
        <v>3</v>
      </c>
      <c r="K372" cm="1">
        <f t="array" ref="K372">IF(COUNTA(_xlfn.UNIQUE(_xlfn._xlws.FILTER($C$2:$C$1001,$B$2:$B$1001=B372)))=1,1,0)</f>
        <v>0</v>
      </c>
    </row>
    <row r="373" spans="1:11" x14ac:dyDescent="0.2">
      <c r="A373" t="s">
        <v>395</v>
      </c>
      <c r="B373" t="s">
        <v>273</v>
      </c>
      <c r="C373" t="s">
        <v>274</v>
      </c>
      <c r="D373" t="s">
        <v>1049</v>
      </c>
      <c r="E373">
        <v>64</v>
      </c>
      <c r="F373">
        <v>279</v>
      </c>
      <c r="G373">
        <v>203.81</v>
      </c>
      <c r="H373">
        <v>5</v>
      </c>
      <c r="I373">
        <v>1</v>
      </c>
      <c r="J373">
        <v>3</v>
      </c>
      <c r="K373" cm="1">
        <f t="array" ref="K373">IF(COUNTA(_xlfn.UNIQUE(_xlfn._xlws.FILTER($C$2:$C$1001,$B$2:$B$1001=B373)))=1,1,0)</f>
        <v>0</v>
      </c>
    </row>
    <row r="374" spans="1:11" x14ac:dyDescent="0.2">
      <c r="A374" t="s">
        <v>396</v>
      </c>
      <c r="B374" t="s">
        <v>285</v>
      </c>
      <c r="C374" t="s">
        <v>274</v>
      </c>
      <c r="D374" t="s">
        <v>1052</v>
      </c>
      <c r="E374">
        <v>13</v>
      </c>
      <c r="F374">
        <v>236</v>
      </c>
      <c r="G374">
        <v>103.39</v>
      </c>
      <c r="H374">
        <v>3</v>
      </c>
      <c r="I374">
        <v>2</v>
      </c>
      <c r="J374">
        <v>3</v>
      </c>
      <c r="K374" cm="1">
        <f t="array" ref="K374">IF(COUNTA(_xlfn.UNIQUE(_xlfn._xlws.FILTER($C$2:$C$1001,$B$2:$B$1001=B374)))=1,1,0)</f>
        <v>0</v>
      </c>
    </row>
    <row r="375" spans="1:11" x14ac:dyDescent="0.2">
      <c r="A375" t="s">
        <v>397</v>
      </c>
      <c r="B375" t="s">
        <v>285</v>
      </c>
      <c r="C375" t="s">
        <v>18</v>
      </c>
      <c r="D375" t="s">
        <v>1055</v>
      </c>
      <c r="E375">
        <v>83</v>
      </c>
      <c r="F375">
        <v>104</v>
      </c>
      <c r="G375">
        <v>168.36</v>
      </c>
      <c r="H375">
        <v>5</v>
      </c>
      <c r="I375">
        <v>2</v>
      </c>
      <c r="J375">
        <v>4</v>
      </c>
      <c r="K375" cm="1">
        <f t="array" ref="K375">IF(COUNTA(_xlfn.UNIQUE(_xlfn._xlws.FILTER($C$2:$C$1001,$B$2:$B$1001=B375)))=1,1,0)</f>
        <v>0</v>
      </c>
    </row>
    <row r="376" spans="1:11" x14ac:dyDescent="0.2">
      <c r="A376" t="s">
        <v>398</v>
      </c>
      <c r="B376" t="s">
        <v>270</v>
      </c>
      <c r="C376" t="s">
        <v>18</v>
      </c>
      <c r="D376" t="s">
        <v>1048</v>
      </c>
      <c r="E376">
        <v>65</v>
      </c>
      <c r="F376">
        <v>209</v>
      </c>
      <c r="G376">
        <v>235.12</v>
      </c>
      <c r="H376">
        <v>4</v>
      </c>
      <c r="I376">
        <v>1</v>
      </c>
      <c r="J376">
        <v>3</v>
      </c>
      <c r="K376" cm="1">
        <f t="array" ref="K376">IF(COUNTA(_xlfn.UNIQUE(_xlfn._xlws.FILTER($C$2:$C$1001,$B$2:$B$1001=B376)))=1,1,0)</f>
        <v>0</v>
      </c>
    </row>
    <row r="377" spans="1:11" x14ac:dyDescent="0.2">
      <c r="A377" t="s">
        <v>399</v>
      </c>
      <c r="B377" t="s">
        <v>285</v>
      </c>
      <c r="C377" t="s">
        <v>18</v>
      </c>
      <c r="D377" t="s">
        <v>1055</v>
      </c>
      <c r="E377">
        <v>50</v>
      </c>
      <c r="F377">
        <v>206</v>
      </c>
      <c r="G377">
        <v>242.03</v>
      </c>
      <c r="H377">
        <v>5</v>
      </c>
      <c r="I377">
        <v>2</v>
      </c>
      <c r="J377">
        <v>4</v>
      </c>
      <c r="K377" cm="1">
        <f t="array" ref="K377">IF(COUNTA(_xlfn.UNIQUE(_xlfn._xlws.FILTER($C$2:$C$1001,$B$2:$B$1001=B377)))=1,1,0)</f>
        <v>0</v>
      </c>
    </row>
    <row r="378" spans="1:11" x14ac:dyDescent="0.2">
      <c r="A378" t="s">
        <v>400</v>
      </c>
      <c r="B378" t="s">
        <v>281</v>
      </c>
      <c r="C378" t="s">
        <v>274</v>
      </c>
      <c r="D378" t="s">
        <v>1051</v>
      </c>
      <c r="E378">
        <v>21</v>
      </c>
      <c r="F378">
        <v>168</v>
      </c>
      <c r="G378">
        <v>298.04000000000002</v>
      </c>
      <c r="H378">
        <v>5</v>
      </c>
      <c r="I378">
        <v>3</v>
      </c>
      <c r="J378">
        <v>3</v>
      </c>
      <c r="K378" cm="1">
        <f t="array" ref="K378">IF(COUNTA(_xlfn.UNIQUE(_xlfn._xlws.FILTER($C$2:$C$1001,$B$2:$B$1001=B378)))=1,1,0)</f>
        <v>0</v>
      </c>
    </row>
    <row r="379" spans="1:11" x14ac:dyDescent="0.2">
      <c r="A379" t="s">
        <v>401</v>
      </c>
      <c r="B379" t="s">
        <v>285</v>
      </c>
      <c r="C379" t="s">
        <v>274</v>
      </c>
      <c r="D379" t="s">
        <v>1052</v>
      </c>
      <c r="E379">
        <v>31</v>
      </c>
      <c r="F379">
        <v>108</v>
      </c>
      <c r="G379">
        <v>173.14</v>
      </c>
      <c r="H379">
        <v>4</v>
      </c>
      <c r="I379">
        <v>2</v>
      </c>
      <c r="J379">
        <v>4</v>
      </c>
      <c r="K379" cm="1">
        <f t="array" ref="K379">IF(COUNTA(_xlfn.UNIQUE(_xlfn._xlws.FILTER($C$2:$C$1001,$B$2:$B$1001=B379)))=1,1,0)</f>
        <v>0</v>
      </c>
    </row>
    <row r="380" spans="1:11" x14ac:dyDescent="0.2">
      <c r="A380" t="s">
        <v>402</v>
      </c>
      <c r="B380" t="s">
        <v>281</v>
      </c>
      <c r="C380" t="s">
        <v>18</v>
      </c>
      <c r="D380" t="s">
        <v>1053</v>
      </c>
      <c r="E380">
        <v>71</v>
      </c>
      <c r="F380">
        <v>230</v>
      </c>
      <c r="G380">
        <v>155.25</v>
      </c>
      <c r="H380">
        <v>5</v>
      </c>
      <c r="I380">
        <v>2</v>
      </c>
      <c r="J380">
        <v>4</v>
      </c>
      <c r="K380" cm="1">
        <f t="array" ref="K380">IF(COUNTA(_xlfn.UNIQUE(_xlfn._xlws.FILTER($C$2:$C$1001,$B$2:$B$1001=B380)))=1,1,0)</f>
        <v>0</v>
      </c>
    </row>
    <row r="381" spans="1:11" x14ac:dyDescent="0.2">
      <c r="A381" t="s">
        <v>403</v>
      </c>
      <c r="B381" t="s">
        <v>273</v>
      </c>
      <c r="C381" t="s">
        <v>18</v>
      </c>
      <c r="D381" t="s">
        <v>1050</v>
      </c>
      <c r="E381">
        <v>32</v>
      </c>
      <c r="F381">
        <v>487</v>
      </c>
      <c r="G381">
        <v>167.47</v>
      </c>
      <c r="H381">
        <v>3</v>
      </c>
      <c r="I381">
        <v>2</v>
      </c>
      <c r="J381">
        <v>4</v>
      </c>
      <c r="K381" cm="1">
        <f t="array" ref="K381">IF(COUNTA(_xlfn.UNIQUE(_xlfn._xlws.FILTER($C$2:$C$1001,$B$2:$B$1001=B381)))=1,1,0)</f>
        <v>0</v>
      </c>
    </row>
    <row r="382" spans="1:11" x14ac:dyDescent="0.2">
      <c r="A382" t="s">
        <v>404</v>
      </c>
      <c r="B382" t="s">
        <v>273</v>
      </c>
      <c r="C382" t="s">
        <v>18</v>
      </c>
      <c r="D382" t="s">
        <v>1050</v>
      </c>
      <c r="E382">
        <v>33</v>
      </c>
      <c r="F382">
        <v>410</v>
      </c>
      <c r="G382">
        <v>199.46</v>
      </c>
      <c r="H382">
        <v>5</v>
      </c>
      <c r="I382">
        <v>1</v>
      </c>
      <c r="J382">
        <v>3</v>
      </c>
      <c r="K382" cm="1">
        <f t="array" ref="K382">IF(COUNTA(_xlfn.UNIQUE(_xlfn._xlws.FILTER($C$2:$C$1001,$B$2:$B$1001=B382)))=1,1,0)</f>
        <v>0</v>
      </c>
    </row>
    <row r="383" spans="1:11" x14ac:dyDescent="0.2">
      <c r="A383" t="s">
        <v>405</v>
      </c>
      <c r="B383" t="s">
        <v>281</v>
      </c>
      <c r="C383" t="s">
        <v>274</v>
      </c>
      <c r="D383" t="s">
        <v>1051</v>
      </c>
      <c r="E383">
        <v>68</v>
      </c>
      <c r="F383">
        <v>326</v>
      </c>
      <c r="G383">
        <v>200.12</v>
      </c>
      <c r="H383">
        <v>4</v>
      </c>
      <c r="I383">
        <v>2</v>
      </c>
      <c r="J383">
        <v>4</v>
      </c>
      <c r="K383" cm="1">
        <f t="array" ref="K383">IF(COUNTA(_xlfn.UNIQUE(_xlfn._xlws.FILTER($C$2:$C$1001,$B$2:$B$1001=B383)))=1,1,0)</f>
        <v>0</v>
      </c>
    </row>
    <row r="384" spans="1:11" x14ac:dyDescent="0.2">
      <c r="A384" t="s">
        <v>406</v>
      </c>
      <c r="B384" t="s">
        <v>281</v>
      </c>
      <c r="C384" t="s">
        <v>274</v>
      </c>
      <c r="D384" t="s">
        <v>1051</v>
      </c>
      <c r="E384">
        <v>39</v>
      </c>
      <c r="F384">
        <v>272</v>
      </c>
      <c r="G384">
        <v>136.06</v>
      </c>
      <c r="H384">
        <v>4</v>
      </c>
      <c r="I384">
        <v>1</v>
      </c>
      <c r="J384">
        <v>4</v>
      </c>
      <c r="K384" cm="1">
        <f t="array" ref="K384">IF(COUNTA(_xlfn.UNIQUE(_xlfn._xlws.FILTER($C$2:$C$1001,$B$2:$B$1001=B384)))=1,1,0)</f>
        <v>0</v>
      </c>
    </row>
    <row r="385" spans="1:11" x14ac:dyDescent="0.2">
      <c r="A385" t="s">
        <v>407</v>
      </c>
      <c r="B385" t="s">
        <v>273</v>
      </c>
      <c r="C385" t="s">
        <v>274</v>
      </c>
      <c r="D385" t="s">
        <v>1049</v>
      </c>
      <c r="E385">
        <v>54</v>
      </c>
      <c r="F385">
        <v>60</v>
      </c>
      <c r="G385">
        <v>258.63</v>
      </c>
      <c r="H385">
        <v>4</v>
      </c>
      <c r="I385">
        <v>2</v>
      </c>
      <c r="J385">
        <v>3</v>
      </c>
      <c r="K385" cm="1">
        <f t="array" ref="K385">IF(COUNTA(_xlfn.UNIQUE(_xlfn._xlws.FILTER($C$2:$C$1001,$B$2:$B$1001=B385)))=1,1,0)</f>
        <v>0</v>
      </c>
    </row>
    <row r="386" spans="1:11" x14ac:dyDescent="0.2">
      <c r="A386" t="s">
        <v>408</v>
      </c>
      <c r="B386" t="s">
        <v>285</v>
      </c>
      <c r="C386" t="s">
        <v>274</v>
      </c>
      <c r="D386" t="s">
        <v>1052</v>
      </c>
      <c r="E386">
        <v>61</v>
      </c>
      <c r="F386">
        <v>381</v>
      </c>
      <c r="G386">
        <v>296.23</v>
      </c>
      <c r="H386">
        <v>5</v>
      </c>
      <c r="I386">
        <v>2</v>
      </c>
      <c r="J386">
        <v>3</v>
      </c>
      <c r="K386" cm="1">
        <f t="array" ref="K386">IF(COUNTA(_xlfn.UNIQUE(_xlfn._xlws.FILTER($C$2:$C$1001,$B$2:$B$1001=B386)))=1,1,0)</f>
        <v>0</v>
      </c>
    </row>
    <row r="387" spans="1:11" x14ac:dyDescent="0.2">
      <c r="A387" t="s">
        <v>409</v>
      </c>
      <c r="B387" t="s">
        <v>281</v>
      </c>
      <c r="C387" t="s">
        <v>18</v>
      </c>
      <c r="D387" t="s">
        <v>1053</v>
      </c>
      <c r="E387">
        <v>23</v>
      </c>
      <c r="F387">
        <v>309</v>
      </c>
      <c r="G387">
        <v>296.24</v>
      </c>
      <c r="H387">
        <v>4</v>
      </c>
      <c r="I387">
        <v>2</v>
      </c>
      <c r="J387">
        <v>4</v>
      </c>
      <c r="K387" cm="1">
        <f t="array" ref="K387">IF(COUNTA(_xlfn.UNIQUE(_xlfn._xlws.FILTER($C$2:$C$1001,$B$2:$B$1001=B387)))=1,1,0)</f>
        <v>0</v>
      </c>
    </row>
    <row r="388" spans="1:11" x14ac:dyDescent="0.2">
      <c r="A388" t="s">
        <v>410</v>
      </c>
      <c r="B388" t="s">
        <v>270</v>
      </c>
      <c r="C388" t="s">
        <v>274</v>
      </c>
      <c r="D388" t="s">
        <v>1054</v>
      </c>
      <c r="E388">
        <v>71</v>
      </c>
      <c r="F388">
        <v>467</v>
      </c>
      <c r="G388">
        <v>290.58</v>
      </c>
      <c r="H388">
        <v>4</v>
      </c>
      <c r="I388">
        <v>2</v>
      </c>
      <c r="J388">
        <v>3</v>
      </c>
      <c r="K388" cm="1">
        <f t="array" ref="K388">IF(COUNTA(_xlfn.UNIQUE(_xlfn._xlws.FILTER($C$2:$C$1001,$B$2:$B$1001=B388)))=1,1,0)</f>
        <v>0</v>
      </c>
    </row>
    <row r="389" spans="1:11" x14ac:dyDescent="0.2">
      <c r="A389" t="s">
        <v>411</v>
      </c>
      <c r="B389" t="s">
        <v>270</v>
      </c>
      <c r="C389" t="s">
        <v>274</v>
      </c>
      <c r="D389" t="s">
        <v>1054</v>
      </c>
      <c r="E389">
        <v>80</v>
      </c>
      <c r="F389">
        <v>137</v>
      </c>
      <c r="G389">
        <v>132.54</v>
      </c>
      <c r="H389">
        <v>3</v>
      </c>
      <c r="I389">
        <v>1</v>
      </c>
      <c r="J389">
        <v>4</v>
      </c>
      <c r="K389" cm="1">
        <f t="array" ref="K389">IF(COUNTA(_xlfn.UNIQUE(_xlfn._xlws.FILTER($C$2:$C$1001,$B$2:$B$1001=B389)))=1,1,0)</f>
        <v>0</v>
      </c>
    </row>
    <row r="390" spans="1:11" x14ac:dyDescent="0.2">
      <c r="A390" t="s">
        <v>412</v>
      </c>
      <c r="B390" t="s">
        <v>285</v>
      </c>
      <c r="C390" t="s">
        <v>274</v>
      </c>
      <c r="D390" t="s">
        <v>1052</v>
      </c>
      <c r="E390">
        <v>61</v>
      </c>
      <c r="F390">
        <v>475</v>
      </c>
      <c r="G390">
        <v>285.24</v>
      </c>
      <c r="H390">
        <v>4</v>
      </c>
      <c r="I390">
        <v>2</v>
      </c>
      <c r="J390">
        <v>3</v>
      </c>
      <c r="K390" cm="1">
        <f t="array" ref="K390">IF(COUNTA(_xlfn.UNIQUE(_xlfn._xlws.FILTER($C$2:$C$1001,$B$2:$B$1001=B390)))=1,1,0)</f>
        <v>0</v>
      </c>
    </row>
    <row r="391" spans="1:11" x14ac:dyDescent="0.2">
      <c r="A391" t="s">
        <v>413</v>
      </c>
      <c r="B391" t="s">
        <v>285</v>
      </c>
      <c r="C391" t="s">
        <v>274</v>
      </c>
      <c r="D391" t="s">
        <v>1052</v>
      </c>
      <c r="E391">
        <v>16</v>
      </c>
      <c r="F391">
        <v>204</v>
      </c>
      <c r="G391">
        <v>150.76</v>
      </c>
      <c r="H391">
        <v>4</v>
      </c>
      <c r="I391">
        <v>1</v>
      </c>
      <c r="J391">
        <v>3</v>
      </c>
      <c r="K391" cm="1">
        <f t="array" ref="K391">IF(COUNTA(_xlfn.UNIQUE(_xlfn._xlws.FILTER($C$2:$C$1001,$B$2:$B$1001=B391)))=1,1,0)</f>
        <v>0</v>
      </c>
    </row>
    <row r="392" spans="1:11" x14ac:dyDescent="0.2">
      <c r="A392" t="s">
        <v>414</v>
      </c>
      <c r="B392" t="s">
        <v>285</v>
      </c>
      <c r="C392" t="s">
        <v>274</v>
      </c>
      <c r="D392" t="s">
        <v>1052</v>
      </c>
      <c r="E392">
        <v>77</v>
      </c>
      <c r="F392">
        <v>204</v>
      </c>
      <c r="G392">
        <v>179.57</v>
      </c>
      <c r="H392">
        <v>3</v>
      </c>
      <c r="I392">
        <v>1</v>
      </c>
      <c r="J392">
        <v>4</v>
      </c>
      <c r="K392" cm="1">
        <f t="array" ref="K392">IF(COUNTA(_xlfn.UNIQUE(_xlfn._xlws.FILTER($C$2:$C$1001,$B$2:$B$1001=B392)))=1,1,0)</f>
        <v>0</v>
      </c>
    </row>
    <row r="393" spans="1:11" x14ac:dyDescent="0.2">
      <c r="A393" t="s">
        <v>415</v>
      </c>
      <c r="B393" t="s">
        <v>273</v>
      </c>
      <c r="C393" t="s">
        <v>18</v>
      </c>
      <c r="D393" t="s">
        <v>1050</v>
      </c>
      <c r="E393">
        <v>84</v>
      </c>
      <c r="F393">
        <v>143</v>
      </c>
      <c r="G393">
        <v>118.14</v>
      </c>
      <c r="H393">
        <v>5</v>
      </c>
      <c r="I393">
        <v>2</v>
      </c>
      <c r="J393">
        <v>3</v>
      </c>
      <c r="K393" cm="1">
        <f t="array" ref="K393">IF(COUNTA(_xlfn.UNIQUE(_xlfn._xlws.FILTER($C$2:$C$1001,$B$2:$B$1001=B393)))=1,1,0)</f>
        <v>0</v>
      </c>
    </row>
    <row r="394" spans="1:11" x14ac:dyDescent="0.2">
      <c r="A394" t="s">
        <v>416</v>
      </c>
      <c r="B394" t="s">
        <v>273</v>
      </c>
      <c r="C394" t="s">
        <v>18</v>
      </c>
      <c r="D394" t="s">
        <v>1050</v>
      </c>
      <c r="E394">
        <v>64</v>
      </c>
      <c r="F394">
        <v>230</v>
      </c>
      <c r="G394">
        <v>150.19999999999999</v>
      </c>
      <c r="H394">
        <v>5</v>
      </c>
      <c r="I394">
        <v>1</v>
      </c>
      <c r="J394">
        <v>3</v>
      </c>
      <c r="K394" cm="1">
        <f t="array" ref="K394">IF(COUNTA(_xlfn.UNIQUE(_xlfn._xlws.FILTER($C$2:$C$1001,$B$2:$B$1001=B394)))=1,1,0)</f>
        <v>0</v>
      </c>
    </row>
    <row r="395" spans="1:11" x14ac:dyDescent="0.2">
      <c r="A395" t="s">
        <v>417</v>
      </c>
      <c r="B395" t="s">
        <v>281</v>
      </c>
      <c r="C395" t="s">
        <v>18</v>
      </c>
      <c r="D395" t="s">
        <v>1053</v>
      </c>
      <c r="E395">
        <v>71</v>
      </c>
      <c r="F395">
        <v>315</v>
      </c>
      <c r="G395">
        <v>120.36</v>
      </c>
      <c r="H395">
        <v>3</v>
      </c>
      <c r="I395">
        <v>2</v>
      </c>
      <c r="J395">
        <v>3</v>
      </c>
      <c r="K395" cm="1">
        <f t="array" ref="K395">IF(COUNTA(_xlfn.UNIQUE(_xlfn._xlws.FILTER($C$2:$C$1001,$B$2:$B$1001=B395)))=1,1,0)</f>
        <v>0</v>
      </c>
    </row>
    <row r="396" spans="1:11" x14ac:dyDescent="0.2">
      <c r="A396" t="s">
        <v>418</v>
      </c>
      <c r="B396" t="s">
        <v>273</v>
      </c>
      <c r="C396" t="s">
        <v>274</v>
      </c>
      <c r="D396" t="s">
        <v>1049</v>
      </c>
      <c r="E396">
        <v>27</v>
      </c>
      <c r="F396">
        <v>474</v>
      </c>
      <c r="G396">
        <v>235.91</v>
      </c>
      <c r="H396">
        <v>5</v>
      </c>
      <c r="I396">
        <v>3</v>
      </c>
      <c r="J396">
        <v>3</v>
      </c>
      <c r="K396" cm="1">
        <f t="array" ref="K396">IF(COUNTA(_xlfn.UNIQUE(_xlfn._xlws.FILTER($C$2:$C$1001,$B$2:$B$1001=B396)))=1,1,0)</f>
        <v>0</v>
      </c>
    </row>
    <row r="397" spans="1:11" x14ac:dyDescent="0.2">
      <c r="A397" t="s">
        <v>419</v>
      </c>
      <c r="B397" t="s">
        <v>270</v>
      </c>
      <c r="C397" t="s">
        <v>18</v>
      </c>
      <c r="D397" t="s">
        <v>1048</v>
      </c>
      <c r="E397">
        <v>46</v>
      </c>
      <c r="F397">
        <v>158</v>
      </c>
      <c r="G397">
        <v>267.93</v>
      </c>
      <c r="H397">
        <v>5</v>
      </c>
      <c r="I397">
        <v>2</v>
      </c>
      <c r="J397">
        <v>4</v>
      </c>
      <c r="K397" cm="1">
        <f t="array" ref="K397">IF(COUNTA(_xlfn.UNIQUE(_xlfn._xlws.FILTER($C$2:$C$1001,$B$2:$B$1001=B397)))=1,1,0)</f>
        <v>0</v>
      </c>
    </row>
    <row r="398" spans="1:11" x14ac:dyDescent="0.2">
      <c r="A398" t="s">
        <v>420</v>
      </c>
      <c r="B398" t="s">
        <v>273</v>
      </c>
      <c r="C398" t="s">
        <v>274</v>
      </c>
      <c r="D398" t="s">
        <v>1049</v>
      </c>
      <c r="E398">
        <v>14</v>
      </c>
      <c r="F398">
        <v>411</v>
      </c>
      <c r="G398">
        <v>256.07</v>
      </c>
      <c r="H398">
        <v>3</v>
      </c>
      <c r="I398">
        <v>1</v>
      </c>
      <c r="J398">
        <v>4</v>
      </c>
      <c r="K398" cm="1">
        <f t="array" ref="K398">IF(COUNTA(_xlfn.UNIQUE(_xlfn._xlws.FILTER($C$2:$C$1001,$B$2:$B$1001=B398)))=1,1,0)</f>
        <v>0</v>
      </c>
    </row>
    <row r="399" spans="1:11" x14ac:dyDescent="0.2">
      <c r="A399" t="s">
        <v>421</v>
      </c>
      <c r="B399" t="s">
        <v>273</v>
      </c>
      <c r="C399" t="s">
        <v>18</v>
      </c>
      <c r="D399" t="s">
        <v>1050</v>
      </c>
      <c r="E399">
        <v>43</v>
      </c>
      <c r="F399">
        <v>95</v>
      </c>
      <c r="G399">
        <v>218.76</v>
      </c>
      <c r="H399">
        <v>5</v>
      </c>
      <c r="I399">
        <v>2</v>
      </c>
      <c r="J399">
        <v>4</v>
      </c>
      <c r="K399" cm="1">
        <f t="array" ref="K399">IF(COUNTA(_xlfn.UNIQUE(_xlfn._xlws.FILTER($C$2:$C$1001,$B$2:$B$1001=B399)))=1,1,0)</f>
        <v>0</v>
      </c>
    </row>
    <row r="400" spans="1:11" x14ac:dyDescent="0.2">
      <c r="A400" t="s">
        <v>422</v>
      </c>
      <c r="B400" t="s">
        <v>273</v>
      </c>
      <c r="C400" t="s">
        <v>274</v>
      </c>
      <c r="D400" t="s">
        <v>1049</v>
      </c>
      <c r="E400">
        <v>10</v>
      </c>
      <c r="F400">
        <v>89</v>
      </c>
      <c r="G400">
        <v>262.18</v>
      </c>
      <c r="H400">
        <v>3</v>
      </c>
      <c r="I400">
        <v>1</v>
      </c>
      <c r="J400">
        <v>3</v>
      </c>
      <c r="K400" cm="1">
        <f t="array" ref="K400">IF(COUNTA(_xlfn.UNIQUE(_xlfn._xlws.FILTER($C$2:$C$1001,$B$2:$B$1001=B400)))=1,1,0)</f>
        <v>0</v>
      </c>
    </row>
    <row r="401" spans="1:11" x14ac:dyDescent="0.2">
      <c r="A401" t="s">
        <v>423</v>
      </c>
      <c r="B401" t="s">
        <v>270</v>
      </c>
      <c r="C401" t="s">
        <v>18</v>
      </c>
      <c r="D401" t="s">
        <v>1048</v>
      </c>
      <c r="E401">
        <v>59</v>
      </c>
      <c r="F401">
        <v>230</v>
      </c>
      <c r="G401">
        <v>192.66</v>
      </c>
      <c r="H401">
        <v>4</v>
      </c>
      <c r="I401">
        <v>2</v>
      </c>
      <c r="J401">
        <v>4</v>
      </c>
      <c r="K401" cm="1">
        <f t="array" ref="K401">IF(COUNTA(_xlfn.UNIQUE(_xlfn._xlws.FILTER($C$2:$C$1001,$B$2:$B$1001=B401)))=1,1,0)</f>
        <v>0</v>
      </c>
    </row>
    <row r="402" spans="1:11" x14ac:dyDescent="0.2">
      <c r="A402" t="s">
        <v>424</v>
      </c>
      <c r="B402" t="s">
        <v>281</v>
      </c>
      <c r="C402" t="s">
        <v>18</v>
      </c>
      <c r="D402" t="s">
        <v>1053</v>
      </c>
      <c r="E402">
        <v>44</v>
      </c>
      <c r="F402">
        <v>237</v>
      </c>
      <c r="G402">
        <v>218.09</v>
      </c>
      <c r="H402">
        <v>4</v>
      </c>
      <c r="I402">
        <v>2</v>
      </c>
      <c r="J402">
        <v>4</v>
      </c>
      <c r="K402" cm="1">
        <f t="array" ref="K402">IF(COUNTA(_xlfn.UNIQUE(_xlfn._xlws.FILTER($C$2:$C$1001,$B$2:$B$1001=B402)))=1,1,0)</f>
        <v>0</v>
      </c>
    </row>
    <row r="403" spans="1:11" x14ac:dyDescent="0.2">
      <c r="A403" t="s">
        <v>425</v>
      </c>
      <c r="B403" t="s">
        <v>273</v>
      </c>
      <c r="C403" t="s">
        <v>274</v>
      </c>
      <c r="D403" t="s">
        <v>1049</v>
      </c>
      <c r="E403">
        <v>42</v>
      </c>
      <c r="F403">
        <v>228</v>
      </c>
      <c r="G403">
        <v>146.08000000000001</v>
      </c>
      <c r="H403">
        <v>4</v>
      </c>
      <c r="I403">
        <v>3</v>
      </c>
      <c r="J403">
        <v>4</v>
      </c>
      <c r="K403" cm="1">
        <f t="array" ref="K403">IF(COUNTA(_xlfn.UNIQUE(_xlfn._xlws.FILTER($C$2:$C$1001,$B$2:$B$1001=B403)))=1,1,0)</f>
        <v>0</v>
      </c>
    </row>
    <row r="404" spans="1:11" x14ac:dyDescent="0.2">
      <c r="A404" t="s">
        <v>426</v>
      </c>
      <c r="B404" t="s">
        <v>270</v>
      </c>
      <c r="C404" t="s">
        <v>18</v>
      </c>
      <c r="D404" t="s">
        <v>1048</v>
      </c>
      <c r="E404">
        <v>57</v>
      </c>
      <c r="F404">
        <v>363</v>
      </c>
      <c r="G404">
        <v>251.81</v>
      </c>
      <c r="H404">
        <v>3</v>
      </c>
      <c r="I404">
        <v>2</v>
      </c>
      <c r="J404">
        <v>4</v>
      </c>
      <c r="K404" cm="1">
        <f t="array" ref="K404">IF(COUNTA(_xlfn.UNIQUE(_xlfn._xlws.FILTER($C$2:$C$1001,$B$2:$B$1001=B404)))=1,1,0)</f>
        <v>0</v>
      </c>
    </row>
    <row r="405" spans="1:11" x14ac:dyDescent="0.2">
      <c r="A405" t="s">
        <v>427</v>
      </c>
      <c r="B405" t="s">
        <v>281</v>
      </c>
      <c r="C405" t="s">
        <v>274</v>
      </c>
      <c r="D405" t="s">
        <v>1051</v>
      </c>
      <c r="E405">
        <v>60</v>
      </c>
      <c r="F405">
        <v>96</v>
      </c>
      <c r="G405">
        <v>167.39</v>
      </c>
      <c r="H405">
        <v>4</v>
      </c>
      <c r="I405">
        <v>1</v>
      </c>
      <c r="J405">
        <v>4</v>
      </c>
      <c r="K405" cm="1">
        <f t="array" ref="K405">IF(COUNTA(_xlfn.UNIQUE(_xlfn._xlws.FILTER($C$2:$C$1001,$B$2:$B$1001=B405)))=1,1,0)</f>
        <v>0</v>
      </c>
    </row>
    <row r="406" spans="1:11" x14ac:dyDescent="0.2">
      <c r="A406" t="s">
        <v>428</v>
      </c>
      <c r="B406" t="s">
        <v>273</v>
      </c>
      <c r="C406" t="s">
        <v>18</v>
      </c>
      <c r="D406" t="s">
        <v>1050</v>
      </c>
      <c r="E406">
        <v>15</v>
      </c>
      <c r="F406">
        <v>336</v>
      </c>
      <c r="G406">
        <v>176.14</v>
      </c>
      <c r="H406">
        <v>5</v>
      </c>
      <c r="I406">
        <v>2</v>
      </c>
      <c r="J406">
        <v>4</v>
      </c>
      <c r="K406" cm="1">
        <f t="array" ref="K406">IF(COUNTA(_xlfn.UNIQUE(_xlfn._xlws.FILTER($C$2:$C$1001,$B$2:$B$1001=B406)))=1,1,0)</f>
        <v>0</v>
      </c>
    </row>
    <row r="407" spans="1:11" x14ac:dyDescent="0.2">
      <c r="A407" t="s">
        <v>429</v>
      </c>
      <c r="B407" t="s">
        <v>273</v>
      </c>
      <c r="C407" t="s">
        <v>18</v>
      </c>
      <c r="D407" t="s">
        <v>1050</v>
      </c>
      <c r="E407">
        <v>27</v>
      </c>
      <c r="F407">
        <v>322</v>
      </c>
      <c r="G407">
        <v>108.48</v>
      </c>
      <c r="H407">
        <v>3</v>
      </c>
      <c r="I407">
        <v>3</v>
      </c>
      <c r="J407">
        <v>4</v>
      </c>
      <c r="K407" cm="1">
        <f t="array" ref="K407">IF(COUNTA(_xlfn.UNIQUE(_xlfn._xlws.FILTER($C$2:$C$1001,$B$2:$B$1001=B407)))=1,1,0)</f>
        <v>0</v>
      </c>
    </row>
    <row r="408" spans="1:11" x14ac:dyDescent="0.2">
      <c r="A408" t="s">
        <v>430</v>
      </c>
      <c r="B408" t="s">
        <v>273</v>
      </c>
      <c r="C408" t="s">
        <v>18</v>
      </c>
      <c r="D408" t="s">
        <v>1050</v>
      </c>
      <c r="E408">
        <v>21</v>
      </c>
      <c r="F408">
        <v>266</v>
      </c>
      <c r="G408">
        <v>202.77</v>
      </c>
      <c r="H408">
        <v>5</v>
      </c>
      <c r="I408">
        <v>1</v>
      </c>
      <c r="J408">
        <v>3</v>
      </c>
      <c r="K408" cm="1">
        <f t="array" ref="K408">IF(COUNTA(_xlfn.UNIQUE(_xlfn._xlws.FILTER($C$2:$C$1001,$B$2:$B$1001=B408)))=1,1,0)</f>
        <v>0</v>
      </c>
    </row>
    <row r="409" spans="1:11" x14ac:dyDescent="0.2">
      <c r="A409" t="s">
        <v>431</v>
      </c>
      <c r="B409" t="s">
        <v>285</v>
      </c>
      <c r="C409" t="s">
        <v>274</v>
      </c>
      <c r="D409" t="s">
        <v>1052</v>
      </c>
      <c r="E409">
        <v>40</v>
      </c>
      <c r="F409">
        <v>456</v>
      </c>
      <c r="G409">
        <v>260.7</v>
      </c>
      <c r="H409">
        <v>3</v>
      </c>
      <c r="I409">
        <v>1</v>
      </c>
      <c r="J409">
        <v>4</v>
      </c>
      <c r="K409" cm="1">
        <f t="array" ref="K409">IF(COUNTA(_xlfn.UNIQUE(_xlfn._xlws.FILTER($C$2:$C$1001,$B$2:$B$1001=B409)))=1,1,0)</f>
        <v>0</v>
      </c>
    </row>
    <row r="410" spans="1:11" x14ac:dyDescent="0.2">
      <c r="A410" t="s">
        <v>432</v>
      </c>
      <c r="B410" t="s">
        <v>270</v>
      </c>
      <c r="C410" t="s">
        <v>18</v>
      </c>
      <c r="D410" t="s">
        <v>1048</v>
      </c>
      <c r="E410">
        <v>69</v>
      </c>
      <c r="F410">
        <v>119</v>
      </c>
      <c r="G410">
        <v>128.43</v>
      </c>
      <c r="H410">
        <v>5</v>
      </c>
      <c r="I410">
        <v>1</v>
      </c>
      <c r="J410">
        <v>4</v>
      </c>
      <c r="K410" cm="1">
        <f t="array" ref="K410">IF(COUNTA(_xlfn.UNIQUE(_xlfn._xlws.FILTER($C$2:$C$1001,$B$2:$B$1001=B410)))=1,1,0)</f>
        <v>0</v>
      </c>
    </row>
    <row r="411" spans="1:11" x14ac:dyDescent="0.2">
      <c r="A411" t="s">
        <v>433</v>
      </c>
      <c r="B411" t="s">
        <v>273</v>
      </c>
      <c r="C411" t="s">
        <v>18</v>
      </c>
      <c r="D411" t="s">
        <v>1050</v>
      </c>
      <c r="E411">
        <v>38</v>
      </c>
      <c r="F411">
        <v>232</v>
      </c>
      <c r="G411">
        <v>212.41</v>
      </c>
      <c r="H411">
        <v>5</v>
      </c>
      <c r="I411">
        <v>3</v>
      </c>
      <c r="J411">
        <v>4</v>
      </c>
      <c r="K411" cm="1">
        <f t="array" ref="K411">IF(COUNTA(_xlfn.UNIQUE(_xlfn._xlws.FILTER($C$2:$C$1001,$B$2:$B$1001=B411)))=1,1,0)</f>
        <v>0</v>
      </c>
    </row>
    <row r="412" spans="1:11" x14ac:dyDescent="0.2">
      <c r="A412" t="s">
        <v>434</v>
      </c>
      <c r="B412" t="s">
        <v>285</v>
      </c>
      <c r="C412" t="s">
        <v>274</v>
      </c>
      <c r="D412" t="s">
        <v>1052</v>
      </c>
      <c r="E412">
        <v>39</v>
      </c>
      <c r="F412">
        <v>388</v>
      </c>
      <c r="G412">
        <v>176.87</v>
      </c>
      <c r="H412">
        <v>5</v>
      </c>
      <c r="I412">
        <v>2</v>
      </c>
      <c r="J412">
        <v>3</v>
      </c>
      <c r="K412" cm="1">
        <f t="array" ref="K412">IF(COUNTA(_xlfn.UNIQUE(_xlfn._xlws.FILTER($C$2:$C$1001,$B$2:$B$1001=B412)))=1,1,0)</f>
        <v>0</v>
      </c>
    </row>
    <row r="413" spans="1:11" x14ac:dyDescent="0.2">
      <c r="A413" t="s">
        <v>435</v>
      </c>
      <c r="B413" t="s">
        <v>281</v>
      </c>
      <c r="C413" t="s">
        <v>274</v>
      </c>
      <c r="D413" t="s">
        <v>1051</v>
      </c>
      <c r="E413">
        <v>55</v>
      </c>
      <c r="F413">
        <v>265</v>
      </c>
      <c r="G413">
        <v>119.5</v>
      </c>
      <c r="H413">
        <v>4</v>
      </c>
      <c r="I413">
        <v>1</v>
      </c>
      <c r="J413">
        <v>3</v>
      </c>
      <c r="K413" cm="1">
        <f t="array" ref="K413">IF(COUNTA(_xlfn.UNIQUE(_xlfn._xlws.FILTER($C$2:$C$1001,$B$2:$B$1001=B413)))=1,1,0)</f>
        <v>0</v>
      </c>
    </row>
    <row r="414" spans="1:11" x14ac:dyDescent="0.2">
      <c r="A414" t="s">
        <v>436</v>
      </c>
      <c r="B414" t="s">
        <v>285</v>
      </c>
      <c r="C414" t="s">
        <v>18</v>
      </c>
      <c r="D414" t="s">
        <v>1055</v>
      </c>
      <c r="E414">
        <v>25</v>
      </c>
      <c r="F414">
        <v>332</v>
      </c>
      <c r="G414">
        <v>200.96</v>
      </c>
      <c r="H414">
        <v>4</v>
      </c>
      <c r="I414">
        <v>2</v>
      </c>
      <c r="J414">
        <v>4</v>
      </c>
      <c r="K414" cm="1">
        <f t="array" ref="K414">IF(COUNTA(_xlfn.UNIQUE(_xlfn._xlws.FILTER($C$2:$C$1001,$B$2:$B$1001=B414)))=1,1,0)</f>
        <v>0</v>
      </c>
    </row>
    <row r="415" spans="1:11" x14ac:dyDescent="0.2">
      <c r="A415" t="s">
        <v>437</v>
      </c>
      <c r="B415" t="s">
        <v>285</v>
      </c>
      <c r="C415" t="s">
        <v>274</v>
      </c>
      <c r="D415" t="s">
        <v>1052</v>
      </c>
      <c r="E415">
        <v>28</v>
      </c>
      <c r="F415">
        <v>138</v>
      </c>
      <c r="G415">
        <v>275.87</v>
      </c>
      <c r="H415">
        <v>5</v>
      </c>
      <c r="I415">
        <v>1</v>
      </c>
      <c r="J415">
        <v>4</v>
      </c>
      <c r="K415" cm="1">
        <f t="array" ref="K415">IF(COUNTA(_xlfn.UNIQUE(_xlfn._xlws.FILTER($C$2:$C$1001,$B$2:$B$1001=B415)))=1,1,0)</f>
        <v>0</v>
      </c>
    </row>
    <row r="416" spans="1:11" x14ac:dyDescent="0.2">
      <c r="A416" t="s">
        <v>438</v>
      </c>
      <c r="B416" t="s">
        <v>270</v>
      </c>
      <c r="C416" t="s">
        <v>274</v>
      </c>
      <c r="D416" t="s">
        <v>1054</v>
      </c>
      <c r="E416">
        <v>57</v>
      </c>
      <c r="F416">
        <v>255</v>
      </c>
      <c r="G416">
        <v>114.18</v>
      </c>
      <c r="H416">
        <v>5</v>
      </c>
      <c r="I416">
        <v>2</v>
      </c>
      <c r="J416">
        <v>4</v>
      </c>
      <c r="K416" cm="1">
        <f t="array" ref="K416">IF(COUNTA(_xlfn.UNIQUE(_xlfn._xlws.FILTER($C$2:$C$1001,$B$2:$B$1001=B416)))=1,1,0)</f>
        <v>0</v>
      </c>
    </row>
    <row r="417" spans="1:11" x14ac:dyDescent="0.2">
      <c r="A417" t="s">
        <v>439</v>
      </c>
      <c r="B417" t="s">
        <v>281</v>
      </c>
      <c r="C417" t="s">
        <v>18</v>
      </c>
      <c r="D417" t="s">
        <v>1053</v>
      </c>
      <c r="E417">
        <v>18</v>
      </c>
      <c r="F417">
        <v>162</v>
      </c>
      <c r="G417">
        <v>132.56</v>
      </c>
      <c r="H417">
        <v>4</v>
      </c>
      <c r="I417">
        <v>3</v>
      </c>
      <c r="J417">
        <v>4</v>
      </c>
      <c r="K417" cm="1">
        <f t="array" ref="K417">IF(COUNTA(_xlfn.UNIQUE(_xlfn._xlws.FILTER($C$2:$C$1001,$B$2:$B$1001=B417)))=1,1,0)</f>
        <v>0</v>
      </c>
    </row>
    <row r="418" spans="1:11" x14ac:dyDescent="0.2">
      <c r="A418" t="s">
        <v>440</v>
      </c>
      <c r="B418" t="s">
        <v>273</v>
      </c>
      <c r="C418" t="s">
        <v>274</v>
      </c>
      <c r="D418" t="s">
        <v>1049</v>
      </c>
      <c r="E418">
        <v>68</v>
      </c>
      <c r="F418">
        <v>461</v>
      </c>
      <c r="G418">
        <v>186.11</v>
      </c>
      <c r="H418">
        <v>5</v>
      </c>
      <c r="I418">
        <v>1</v>
      </c>
      <c r="J418">
        <v>4</v>
      </c>
      <c r="K418" cm="1">
        <f t="array" ref="K418">IF(COUNTA(_xlfn.UNIQUE(_xlfn._xlws.FILTER($C$2:$C$1001,$B$2:$B$1001=B418)))=1,1,0)</f>
        <v>0</v>
      </c>
    </row>
    <row r="419" spans="1:11" x14ac:dyDescent="0.2">
      <c r="A419" t="s">
        <v>441</v>
      </c>
      <c r="B419" t="s">
        <v>281</v>
      </c>
      <c r="C419" t="s">
        <v>18</v>
      </c>
      <c r="D419" t="s">
        <v>1053</v>
      </c>
      <c r="E419">
        <v>19</v>
      </c>
      <c r="F419">
        <v>246</v>
      </c>
      <c r="G419">
        <v>237.09</v>
      </c>
      <c r="H419">
        <v>5</v>
      </c>
      <c r="I419">
        <v>1</v>
      </c>
      <c r="J419">
        <v>3</v>
      </c>
      <c r="K419" cm="1">
        <f t="array" ref="K419">IF(COUNTA(_xlfn.UNIQUE(_xlfn._xlws.FILTER($C$2:$C$1001,$B$2:$B$1001=B419)))=1,1,0)</f>
        <v>0</v>
      </c>
    </row>
    <row r="420" spans="1:11" x14ac:dyDescent="0.2">
      <c r="A420" t="s">
        <v>442</v>
      </c>
      <c r="B420" t="s">
        <v>285</v>
      </c>
      <c r="C420" t="s">
        <v>274</v>
      </c>
      <c r="D420" t="s">
        <v>1052</v>
      </c>
      <c r="E420">
        <v>30</v>
      </c>
      <c r="F420">
        <v>63</v>
      </c>
      <c r="G420">
        <v>226.46</v>
      </c>
      <c r="H420">
        <v>4</v>
      </c>
      <c r="I420">
        <v>1</v>
      </c>
      <c r="J420">
        <v>3</v>
      </c>
      <c r="K420" cm="1">
        <f t="array" ref="K420">IF(COUNTA(_xlfn.UNIQUE(_xlfn._xlws.FILTER($C$2:$C$1001,$B$2:$B$1001=B420)))=1,1,0)</f>
        <v>0</v>
      </c>
    </row>
    <row r="421" spans="1:11" x14ac:dyDescent="0.2">
      <c r="A421" t="s">
        <v>443</v>
      </c>
      <c r="B421" t="s">
        <v>281</v>
      </c>
      <c r="C421" t="s">
        <v>274</v>
      </c>
      <c r="D421" t="s">
        <v>1051</v>
      </c>
      <c r="E421">
        <v>12</v>
      </c>
      <c r="F421">
        <v>441</v>
      </c>
      <c r="G421">
        <v>282.95</v>
      </c>
      <c r="H421">
        <v>3</v>
      </c>
      <c r="I421">
        <v>2</v>
      </c>
      <c r="J421">
        <v>4</v>
      </c>
      <c r="K421" cm="1">
        <f t="array" ref="K421">IF(COUNTA(_xlfn.UNIQUE(_xlfn._xlws.FILTER($C$2:$C$1001,$B$2:$B$1001=B421)))=1,1,0)</f>
        <v>0</v>
      </c>
    </row>
    <row r="422" spans="1:11" x14ac:dyDescent="0.2">
      <c r="A422" t="s">
        <v>444</v>
      </c>
      <c r="B422" t="s">
        <v>281</v>
      </c>
      <c r="C422" t="s">
        <v>18</v>
      </c>
      <c r="D422" t="s">
        <v>1053</v>
      </c>
      <c r="E422">
        <v>82</v>
      </c>
      <c r="F422">
        <v>131</v>
      </c>
      <c r="G422">
        <v>180.72</v>
      </c>
      <c r="H422">
        <v>5</v>
      </c>
      <c r="I422">
        <v>1</v>
      </c>
      <c r="J422">
        <v>4</v>
      </c>
      <c r="K422" cm="1">
        <f t="array" ref="K422">IF(COUNTA(_xlfn.UNIQUE(_xlfn._xlws.FILTER($C$2:$C$1001,$B$2:$B$1001=B422)))=1,1,0)</f>
        <v>0</v>
      </c>
    </row>
    <row r="423" spans="1:11" x14ac:dyDescent="0.2">
      <c r="A423" t="s">
        <v>445</v>
      </c>
      <c r="B423" t="s">
        <v>270</v>
      </c>
      <c r="C423" t="s">
        <v>274</v>
      </c>
      <c r="D423" t="s">
        <v>1054</v>
      </c>
      <c r="E423">
        <v>28</v>
      </c>
      <c r="F423">
        <v>394</v>
      </c>
      <c r="G423">
        <v>141.07</v>
      </c>
      <c r="H423">
        <v>4</v>
      </c>
      <c r="I423">
        <v>1</v>
      </c>
      <c r="J423">
        <v>3</v>
      </c>
      <c r="K423" cm="1">
        <f t="array" ref="K423">IF(COUNTA(_xlfn.UNIQUE(_xlfn._xlws.FILTER($C$2:$C$1001,$B$2:$B$1001=B423)))=1,1,0)</f>
        <v>0</v>
      </c>
    </row>
    <row r="424" spans="1:11" x14ac:dyDescent="0.2">
      <c r="A424" t="s">
        <v>446</v>
      </c>
      <c r="B424" t="s">
        <v>281</v>
      </c>
      <c r="C424" t="s">
        <v>18</v>
      </c>
      <c r="D424" t="s">
        <v>1053</v>
      </c>
      <c r="E424">
        <v>26</v>
      </c>
      <c r="F424">
        <v>206</v>
      </c>
      <c r="G424">
        <v>115.4</v>
      </c>
      <c r="H424">
        <v>3</v>
      </c>
      <c r="I424">
        <v>1</v>
      </c>
      <c r="J424">
        <v>3</v>
      </c>
      <c r="K424" cm="1">
        <f t="array" ref="K424">IF(COUNTA(_xlfn.UNIQUE(_xlfn._xlws.FILTER($C$2:$C$1001,$B$2:$B$1001=B424)))=1,1,0)</f>
        <v>0</v>
      </c>
    </row>
    <row r="425" spans="1:11" x14ac:dyDescent="0.2">
      <c r="A425" t="s">
        <v>447</v>
      </c>
      <c r="B425" t="s">
        <v>285</v>
      </c>
      <c r="C425" t="s">
        <v>274</v>
      </c>
      <c r="D425" t="s">
        <v>1052</v>
      </c>
      <c r="E425">
        <v>85</v>
      </c>
      <c r="F425">
        <v>371</v>
      </c>
      <c r="G425">
        <v>118.42</v>
      </c>
      <c r="H425">
        <v>5</v>
      </c>
      <c r="I425">
        <v>2</v>
      </c>
      <c r="J425">
        <v>4</v>
      </c>
      <c r="K425" cm="1">
        <f t="array" ref="K425">IF(COUNTA(_xlfn.UNIQUE(_xlfn._xlws.FILTER($C$2:$C$1001,$B$2:$B$1001=B425)))=1,1,0)</f>
        <v>0</v>
      </c>
    </row>
    <row r="426" spans="1:11" x14ac:dyDescent="0.2">
      <c r="A426" t="s">
        <v>448</v>
      </c>
      <c r="B426" t="s">
        <v>270</v>
      </c>
      <c r="C426" t="s">
        <v>274</v>
      </c>
      <c r="D426" t="s">
        <v>1054</v>
      </c>
      <c r="E426">
        <v>35</v>
      </c>
      <c r="F426">
        <v>97</v>
      </c>
      <c r="G426">
        <v>241.33</v>
      </c>
      <c r="H426">
        <v>5</v>
      </c>
      <c r="I426">
        <v>1</v>
      </c>
      <c r="J426">
        <v>4</v>
      </c>
      <c r="K426" cm="1">
        <f t="array" ref="K426">IF(COUNTA(_xlfn.UNIQUE(_xlfn._xlws.FILTER($C$2:$C$1001,$B$2:$B$1001=B426)))=1,1,0)</f>
        <v>0</v>
      </c>
    </row>
    <row r="427" spans="1:11" x14ac:dyDescent="0.2">
      <c r="A427" t="s">
        <v>449</v>
      </c>
      <c r="B427" t="s">
        <v>285</v>
      </c>
      <c r="C427" t="s">
        <v>274</v>
      </c>
      <c r="D427" t="s">
        <v>1052</v>
      </c>
      <c r="E427">
        <v>28</v>
      </c>
      <c r="F427">
        <v>315</v>
      </c>
      <c r="G427">
        <v>121.18</v>
      </c>
      <c r="H427">
        <v>5</v>
      </c>
      <c r="I427">
        <v>1</v>
      </c>
      <c r="J427">
        <v>3</v>
      </c>
      <c r="K427" cm="1">
        <f t="array" ref="K427">IF(COUNTA(_xlfn.UNIQUE(_xlfn._xlws.FILTER($C$2:$C$1001,$B$2:$B$1001=B427)))=1,1,0)</f>
        <v>0</v>
      </c>
    </row>
    <row r="428" spans="1:11" x14ac:dyDescent="0.2">
      <c r="A428" t="s">
        <v>450</v>
      </c>
      <c r="B428" t="s">
        <v>285</v>
      </c>
      <c r="C428" t="s">
        <v>274</v>
      </c>
      <c r="D428" t="s">
        <v>1052</v>
      </c>
      <c r="E428">
        <v>15</v>
      </c>
      <c r="F428">
        <v>333</v>
      </c>
      <c r="G428">
        <v>236.02</v>
      </c>
      <c r="H428">
        <v>5</v>
      </c>
      <c r="I428">
        <v>1</v>
      </c>
      <c r="J428">
        <v>3</v>
      </c>
      <c r="K428" cm="1">
        <f t="array" ref="K428">IF(COUNTA(_xlfn.UNIQUE(_xlfn._xlws.FILTER($C$2:$C$1001,$B$2:$B$1001=B428)))=1,1,0)</f>
        <v>0</v>
      </c>
    </row>
    <row r="429" spans="1:11" x14ac:dyDescent="0.2">
      <c r="A429" t="s">
        <v>451</v>
      </c>
      <c r="B429" t="s">
        <v>285</v>
      </c>
      <c r="C429" t="s">
        <v>274</v>
      </c>
      <c r="D429" t="s">
        <v>1052</v>
      </c>
      <c r="E429">
        <v>23</v>
      </c>
      <c r="F429">
        <v>122</v>
      </c>
      <c r="G429">
        <v>144.1</v>
      </c>
      <c r="H429">
        <v>4</v>
      </c>
      <c r="I429">
        <v>1</v>
      </c>
      <c r="J429">
        <v>3</v>
      </c>
      <c r="K429" cm="1">
        <f t="array" ref="K429">IF(COUNTA(_xlfn.UNIQUE(_xlfn._xlws.FILTER($C$2:$C$1001,$B$2:$B$1001=B429)))=1,1,0)</f>
        <v>0</v>
      </c>
    </row>
    <row r="430" spans="1:11" x14ac:dyDescent="0.2">
      <c r="A430" t="s">
        <v>452</v>
      </c>
      <c r="B430" t="s">
        <v>281</v>
      </c>
      <c r="C430" t="s">
        <v>18</v>
      </c>
      <c r="D430" t="s">
        <v>1053</v>
      </c>
      <c r="E430">
        <v>21</v>
      </c>
      <c r="F430">
        <v>468</v>
      </c>
      <c r="G430">
        <v>186.72</v>
      </c>
      <c r="H430">
        <v>4</v>
      </c>
      <c r="I430">
        <v>2</v>
      </c>
      <c r="J430">
        <v>4</v>
      </c>
      <c r="K430" cm="1">
        <f t="array" ref="K430">IF(COUNTA(_xlfn.UNIQUE(_xlfn._xlws.FILTER($C$2:$C$1001,$B$2:$B$1001=B430)))=1,1,0)</f>
        <v>0</v>
      </c>
    </row>
    <row r="431" spans="1:11" x14ac:dyDescent="0.2">
      <c r="A431" t="s">
        <v>453</v>
      </c>
      <c r="B431" t="s">
        <v>285</v>
      </c>
      <c r="C431" t="s">
        <v>18</v>
      </c>
      <c r="D431" t="s">
        <v>1055</v>
      </c>
      <c r="E431">
        <v>47</v>
      </c>
      <c r="F431">
        <v>459</v>
      </c>
      <c r="G431">
        <v>244.69</v>
      </c>
      <c r="H431">
        <v>5</v>
      </c>
      <c r="I431">
        <v>1</v>
      </c>
      <c r="J431">
        <v>3</v>
      </c>
      <c r="K431" cm="1">
        <f t="array" ref="K431">IF(COUNTA(_xlfn.UNIQUE(_xlfn._xlws.FILTER($C$2:$C$1001,$B$2:$B$1001=B431)))=1,1,0)</f>
        <v>0</v>
      </c>
    </row>
    <row r="432" spans="1:11" x14ac:dyDescent="0.2">
      <c r="A432" t="s">
        <v>454</v>
      </c>
      <c r="B432" t="s">
        <v>281</v>
      </c>
      <c r="C432" t="s">
        <v>18</v>
      </c>
      <c r="D432" t="s">
        <v>1053</v>
      </c>
      <c r="E432">
        <v>75</v>
      </c>
      <c r="F432">
        <v>88</v>
      </c>
      <c r="G432">
        <v>140.80000000000001</v>
      </c>
      <c r="H432">
        <v>5</v>
      </c>
      <c r="I432">
        <v>3</v>
      </c>
      <c r="J432">
        <v>3</v>
      </c>
      <c r="K432" cm="1">
        <f t="array" ref="K432">IF(COUNTA(_xlfn.UNIQUE(_xlfn._xlws.FILTER($C$2:$C$1001,$B$2:$B$1001=B432)))=1,1,0)</f>
        <v>0</v>
      </c>
    </row>
    <row r="433" spans="1:11" x14ac:dyDescent="0.2">
      <c r="A433" t="s">
        <v>455</v>
      </c>
      <c r="B433" t="s">
        <v>270</v>
      </c>
      <c r="C433" t="s">
        <v>274</v>
      </c>
      <c r="D433" t="s">
        <v>1054</v>
      </c>
      <c r="E433">
        <v>22</v>
      </c>
      <c r="F433">
        <v>110</v>
      </c>
      <c r="G433">
        <v>112.51</v>
      </c>
      <c r="H433">
        <v>4</v>
      </c>
      <c r="I433">
        <v>3</v>
      </c>
      <c r="J433">
        <v>4</v>
      </c>
      <c r="K433" cm="1">
        <f t="array" ref="K433">IF(COUNTA(_xlfn.UNIQUE(_xlfn._xlws.FILTER($C$2:$C$1001,$B$2:$B$1001=B433)))=1,1,0)</f>
        <v>0</v>
      </c>
    </row>
    <row r="434" spans="1:11" x14ac:dyDescent="0.2">
      <c r="A434" t="s">
        <v>456</v>
      </c>
      <c r="B434" t="s">
        <v>281</v>
      </c>
      <c r="C434" t="s">
        <v>274</v>
      </c>
      <c r="D434" t="s">
        <v>1051</v>
      </c>
      <c r="E434">
        <v>83</v>
      </c>
      <c r="F434">
        <v>387</v>
      </c>
      <c r="G434">
        <v>166.61</v>
      </c>
      <c r="H434">
        <v>5</v>
      </c>
      <c r="I434">
        <v>3</v>
      </c>
      <c r="J434">
        <v>4</v>
      </c>
      <c r="K434" cm="1">
        <f t="array" ref="K434">IF(COUNTA(_xlfn.UNIQUE(_xlfn._xlws.FILTER($C$2:$C$1001,$B$2:$B$1001=B434)))=1,1,0)</f>
        <v>0</v>
      </c>
    </row>
    <row r="435" spans="1:11" x14ac:dyDescent="0.2">
      <c r="A435" t="s">
        <v>457</v>
      </c>
      <c r="B435" t="s">
        <v>285</v>
      </c>
      <c r="C435" t="s">
        <v>274</v>
      </c>
      <c r="D435" t="s">
        <v>1052</v>
      </c>
      <c r="E435">
        <v>87</v>
      </c>
      <c r="F435">
        <v>370</v>
      </c>
      <c r="G435">
        <v>223.36</v>
      </c>
      <c r="H435">
        <v>5</v>
      </c>
      <c r="I435">
        <v>1</v>
      </c>
      <c r="J435">
        <v>3</v>
      </c>
      <c r="K435" cm="1">
        <f t="array" ref="K435">IF(COUNTA(_xlfn.UNIQUE(_xlfn._xlws.FILTER($C$2:$C$1001,$B$2:$B$1001=B435)))=1,1,0)</f>
        <v>0</v>
      </c>
    </row>
    <row r="436" spans="1:11" x14ac:dyDescent="0.2">
      <c r="A436" t="s">
        <v>458</v>
      </c>
      <c r="B436" t="s">
        <v>273</v>
      </c>
      <c r="C436" t="s">
        <v>18</v>
      </c>
      <c r="D436" t="s">
        <v>1050</v>
      </c>
      <c r="E436">
        <v>15</v>
      </c>
      <c r="F436">
        <v>344</v>
      </c>
      <c r="G436">
        <v>259.94</v>
      </c>
      <c r="H436">
        <v>4</v>
      </c>
      <c r="I436">
        <v>1</v>
      </c>
      <c r="J436">
        <v>3</v>
      </c>
      <c r="K436" cm="1">
        <f t="array" ref="K436">IF(COUNTA(_xlfn.UNIQUE(_xlfn._xlws.FILTER($C$2:$C$1001,$B$2:$B$1001=B436)))=1,1,0)</f>
        <v>0</v>
      </c>
    </row>
    <row r="437" spans="1:11" x14ac:dyDescent="0.2">
      <c r="A437" t="s">
        <v>459</v>
      </c>
      <c r="B437" t="s">
        <v>281</v>
      </c>
      <c r="C437" t="s">
        <v>274</v>
      </c>
      <c r="D437" t="s">
        <v>1051</v>
      </c>
      <c r="E437">
        <v>46</v>
      </c>
      <c r="F437">
        <v>494</v>
      </c>
      <c r="G437">
        <v>190.87</v>
      </c>
      <c r="H437">
        <v>5</v>
      </c>
      <c r="I437">
        <v>1</v>
      </c>
      <c r="J437">
        <v>4</v>
      </c>
      <c r="K437" cm="1">
        <f t="array" ref="K437">IF(COUNTA(_xlfn.UNIQUE(_xlfn._xlws.FILTER($C$2:$C$1001,$B$2:$B$1001=B437)))=1,1,0)</f>
        <v>0</v>
      </c>
    </row>
    <row r="438" spans="1:11" x14ac:dyDescent="0.2">
      <c r="A438" t="s">
        <v>460</v>
      </c>
      <c r="B438" t="s">
        <v>285</v>
      </c>
      <c r="C438" t="s">
        <v>18</v>
      </c>
      <c r="D438" t="s">
        <v>1055</v>
      </c>
      <c r="E438">
        <v>64</v>
      </c>
      <c r="F438">
        <v>384</v>
      </c>
      <c r="G438">
        <v>128.88</v>
      </c>
      <c r="H438">
        <v>5</v>
      </c>
      <c r="I438">
        <v>3</v>
      </c>
      <c r="J438">
        <v>4</v>
      </c>
      <c r="K438" cm="1">
        <f t="array" ref="K438">IF(COUNTA(_xlfn.UNIQUE(_xlfn._xlws.FILTER($C$2:$C$1001,$B$2:$B$1001=B438)))=1,1,0)</f>
        <v>0</v>
      </c>
    </row>
    <row r="439" spans="1:11" x14ac:dyDescent="0.2">
      <c r="A439" t="s">
        <v>461</v>
      </c>
      <c r="B439" t="s">
        <v>273</v>
      </c>
      <c r="C439" t="s">
        <v>274</v>
      </c>
      <c r="D439" t="s">
        <v>1049</v>
      </c>
      <c r="E439">
        <v>61</v>
      </c>
      <c r="F439">
        <v>184</v>
      </c>
      <c r="G439">
        <v>218.05</v>
      </c>
      <c r="H439">
        <v>5</v>
      </c>
      <c r="I439">
        <v>1</v>
      </c>
      <c r="J439">
        <v>3</v>
      </c>
      <c r="K439" cm="1">
        <f t="array" ref="K439">IF(COUNTA(_xlfn.UNIQUE(_xlfn._xlws.FILTER($C$2:$C$1001,$B$2:$B$1001=B439)))=1,1,0)</f>
        <v>0</v>
      </c>
    </row>
    <row r="440" spans="1:11" x14ac:dyDescent="0.2">
      <c r="A440" t="s">
        <v>462</v>
      </c>
      <c r="B440" t="s">
        <v>270</v>
      </c>
      <c r="C440" t="s">
        <v>274</v>
      </c>
      <c r="D440" t="s">
        <v>1054</v>
      </c>
      <c r="E440">
        <v>80</v>
      </c>
      <c r="F440">
        <v>434</v>
      </c>
      <c r="G440">
        <v>231.03</v>
      </c>
      <c r="H440">
        <v>4</v>
      </c>
      <c r="I440">
        <v>1</v>
      </c>
      <c r="J440">
        <v>4</v>
      </c>
      <c r="K440" cm="1">
        <f t="array" ref="K440">IF(COUNTA(_xlfn.UNIQUE(_xlfn._xlws.FILTER($C$2:$C$1001,$B$2:$B$1001=B440)))=1,1,0)</f>
        <v>0</v>
      </c>
    </row>
    <row r="441" spans="1:11" x14ac:dyDescent="0.2">
      <c r="A441" t="s">
        <v>463</v>
      </c>
      <c r="B441" t="s">
        <v>285</v>
      </c>
      <c r="C441" t="s">
        <v>18</v>
      </c>
      <c r="D441" t="s">
        <v>1055</v>
      </c>
      <c r="E441">
        <v>74</v>
      </c>
      <c r="F441">
        <v>158</v>
      </c>
      <c r="G441">
        <v>276.33999999999997</v>
      </c>
      <c r="H441">
        <v>3</v>
      </c>
      <c r="I441">
        <v>1</v>
      </c>
      <c r="J441">
        <v>3</v>
      </c>
      <c r="K441" cm="1">
        <f t="array" ref="K441">IF(COUNTA(_xlfn.UNIQUE(_xlfn._xlws.FILTER($C$2:$C$1001,$B$2:$B$1001=B441)))=1,1,0)</f>
        <v>0</v>
      </c>
    </row>
    <row r="442" spans="1:11" x14ac:dyDescent="0.2">
      <c r="A442" t="s">
        <v>464</v>
      </c>
      <c r="B442" t="s">
        <v>285</v>
      </c>
      <c r="C442" t="s">
        <v>18</v>
      </c>
      <c r="D442" t="s">
        <v>1055</v>
      </c>
      <c r="E442">
        <v>61</v>
      </c>
      <c r="F442">
        <v>72</v>
      </c>
      <c r="G442">
        <v>203</v>
      </c>
      <c r="H442">
        <v>5</v>
      </c>
      <c r="I442">
        <v>1</v>
      </c>
      <c r="J442">
        <v>3</v>
      </c>
      <c r="K442" cm="1">
        <f t="array" ref="K442">IF(COUNTA(_xlfn.UNIQUE(_xlfn._xlws.FILTER($C$2:$C$1001,$B$2:$B$1001=B442)))=1,1,0)</f>
        <v>0</v>
      </c>
    </row>
    <row r="443" spans="1:11" x14ac:dyDescent="0.2">
      <c r="A443" t="s">
        <v>465</v>
      </c>
      <c r="B443" t="s">
        <v>281</v>
      </c>
      <c r="C443" t="s">
        <v>274</v>
      </c>
      <c r="D443" t="s">
        <v>1051</v>
      </c>
      <c r="E443">
        <v>86</v>
      </c>
      <c r="F443">
        <v>85</v>
      </c>
      <c r="G443">
        <v>290.56</v>
      </c>
      <c r="H443">
        <v>5</v>
      </c>
      <c r="I443">
        <v>2</v>
      </c>
      <c r="J443">
        <v>4</v>
      </c>
      <c r="K443" cm="1">
        <f t="array" ref="K443">IF(COUNTA(_xlfn.UNIQUE(_xlfn._xlws.FILTER($C$2:$C$1001,$B$2:$B$1001=B443)))=1,1,0)</f>
        <v>0</v>
      </c>
    </row>
    <row r="444" spans="1:11" x14ac:dyDescent="0.2">
      <c r="A444" t="s">
        <v>466</v>
      </c>
      <c r="B444" t="s">
        <v>273</v>
      </c>
      <c r="C444" t="s">
        <v>18</v>
      </c>
      <c r="D444" t="s">
        <v>1050</v>
      </c>
      <c r="E444">
        <v>11</v>
      </c>
      <c r="F444">
        <v>55</v>
      </c>
      <c r="G444">
        <v>280.70999999999998</v>
      </c>
      <c r="H444">
        <v>4</v>
      </c>
      <c r="I444">
        <v>1</v>
      </c>
      <c r="J444">
        <v>3</v>
      </c>
      <c r="K444" cm="1">
        <f t="array" ref="K444">IF(COUNTA(_xlfn.UNIQUE(_xlfn._xlws.FILTER($C$2:$C$1001,$B$2:$B$1001=B444)))=1,1,0)</f>
        <v>0</v>
      </c>
    </row>
    <row r="445" spans="1:11" x14ac:dyDescent="0.2">
      <c r="A445" t="s">
        <v>467</v>
      </c>
      <c r="B445" t="s">
        <v>281</v>
      </c>
      <c r="C445" t="s">
        <v>18</v>
      </c>
      <c r="D445" t="s">
        <v>1053</v>
      </c>
      <c r="E445">
        <v>43</v>
      </c>
      <c r="F445">
        <v>463</v>
      </c>
      <c r="G445">
        <v>168.96</v>
      </c>
      <c r="H445">
        <v>3</v>
      </c>
      <c r="I445">
        <v>2</v>
      </c>
      <c r="J445">
        <v>3</v>
      </c>
      <c r="K445" cm="1">
        <f t="array" ref="K445">IF(COUNTA(_xlfn.UNIQUE(_xlfn._xlws.FILTER($C$2:$C$1001,$B$2:$B$1001=B445)))=1,1,0)</f>
        <v>0</v>
      </c>
    </row>
    <row r="446" spans="1:11" x14ac:dyDescent="0.2">
      <c r="A446" t="s">
        <v>468</v>
      </c>
      <c r="B446" t="s">
        <v>270</v>
      </c>
      <c r="C446" t="s">
        <v>18</v>
      </c>
      <c r="D446" t="s">
        <v>1048</v>
      </c>
      <c r="E446">
        <v>12</v>
      </c>
      <c r="F446">
        <v>161</v>
      </c>
      <c r="G446">
        <v>238.79</v>
      </c>
      <c r="H446">
        <v>3</v>
      </c>
      <c r="I446">
        <v>2</v>
      </c>
      <c r="J446">
        <v>3</v>
      </c>
      <c r="K446" cm="1">
        <f t="array" ref="K446">IF(COUNTA(_xlfn.UNIQUE(_xlfn._xlws.FILTER($C$2:$C$1001,$B$2:$B$1001=B446)))=1,1,0)</f>
        <v>0</v>
      </c>
    </row>
    <row r="447" spans="1:11" x14ac:dyDescent="0.2">
      <c r="A447" t="s">
        <v>469</v>
      </c>
      <c r="B447" t="s">
        <v>285</v>
      </c>
      <c r="C447" t="s">
        <v>18</v>
      </c>
      <c r="D447" t="s">
        <v>1055</v>
      </c>
      <c r="E447">
        <v>84</v>
      </c>
      <c r="F447">
        <v>338</v>
      </c>
      <c r="G447">
        <v>132.27000000000001</v>
      </c>
      <c r="H447">
        <v>5</v>
      </c>
      <c r="I447">
        <v>3</v>
      </c>
      <c r="J447">
        <v>4</v>
      </c>
      <c r="K447" cm="1">
        <f t="array" ref="K447">IF(COUNTA(_xlfn.UNIQUE(_xlfn._xlws.FILTER($C$2:$C$1001,$B$2:$B$1001=B447)))=1,1,0)</f>
        <v>0</v>
      </c>
    </row>
    <row r="448" spans="1:11" x14ac:dyDescent="0.2">
      <c r="A448" t="s">
        <v>470</v>
      </c>
      <c r="B448" t="s">
        <v>281</v>
      </c>
      <c r="C448" t="s">
        <v>274</v>
      </c>
      <c r="D448" t="s">
        <v>1051</v>
      </c>
      <c r="E448">
        <v>45</v>
      </c>
      <c r="F448">
        <v>469</v>
      </c>
      <c r="G448">
        <v>121.07</v>
      </c>
      <c r="H448">
        <v>5</v>
      </c>
      <c r="I448">
        <v>1</v>
      </c>
      <c r="J448">
        <v>4</v>
      </c>
      <c r="K448" cm="1">
        <f t="array" ref="K448">IF(COUNTA(_xlfn.UNIQUE(_xlfn._xlws.FILTER($C$2:$C$1001,$B$2:$B$1001=B448)))=1,1,0)</f>
        <v>0</v>
      </c>
    </row>
    <row r="449" spans="1:11" x14ac:dyDescent="0.2">
      <c r="A449" t="s">
        <v>471</v>
      </c>
      <c r="B449" t="s">
        <v>270</v>
      </c>
      <c r="C449" t="s">
        <v>274</v>
      </c>
      <c r="D449" t="s">
        <v>1054</v>
      </c>
      <c r="E449">
        <v>15</v>
      </c>
      <c r="F449">
        <v>167</v>
      </c>
      <c r="G449">
        <v>153.52000000000001</v>
      </c>
      <c r="H449">
        <v>5</v>
      </c>
      <c r="I449">
        <v>1</v>
      </c>
      <c r="J449">
        <v>3</v>
      </c>
      <c r="K449" cm="1">
        <f t="array" ref="K449">IF(COUNTA(_xlfn.UNIQUE(_xlfn._xlws.FILTER($C$2:$C$1001,$B$2:$B$1001=B449)))=1,1,0)</f>
        <v>0</v>
      </c>
    </row>
    <row r="450" spans="1:11" x14ac:dyDescent="0.2">
      <c r="A450" t="s">
        <v>472</v>
      </c>
      <c r="B450" t="s">
        <v>270</v>
      </c>
      <c r="C450" t="s">
        <v>274</v>
      </c>
      <c r="D450" t="s">
        <v>1054</v>
      </c>
      <c r="E450">
        <v>56</v>
      </c>
      <c r="F450">
        <v>244</v>
      </c>
      <c r="G450">
        <v>274.29000000000002</v>
      </c>
      <c r="H450">
        <v>3</v>
      </c>
      <c r="I450">
        <v>1</v>
      </c>
      <c r="J450">
        <v>4</v>
      </c>
      <c r="K450" cm="1">
        <f t="array" ref="K450">IF(COUNTA(_xlfn.UNIQUE(_xlfn._xlws.FILTER($C$2:$C$1001,$B$2:$B$1001=B450)))=1,1,0)</f>
        <v>0</v>
      </c>
    </row>
    <row r="451" spans="1:11" x14ac:dyDescent="0.2">
      <c r="A451" t="s">
        <v>473</v>
      </c>
      <c r="B451" t="s">
        <v>281</v>
      </c>
      <c r="C451" t="s">
        <v>18</v>
      </c>
      <c r="D451" t="s">
        <v>1053</v>
      </c>
      <c r="E451">
        <v>70</v>
      </c>
      <c r="F451">
        <v>467</v>
      </c>
      <c r="G451">
        <v>274.11</v>
      </c>
      <c r="H451">
        <v>3</v>
      </c>
      <c r="I451">
        <v>1</v>
      </c>
      <c r="J451">
        <v>3</v>
      </c>
      <c r="K451" cm="1">
        <f t="array" ref="K451">IF(COUNTA(_xlfn.UNIQUE(_xlfn._xlws.FILTER($C$2:$C$1001,$B$2:$B$1001=B451)))=1,1,0)</f>
        <v>0</v>
      </c>
    </row>
    <row r="452" spans="1:11" x14ac:dyDescent="0.2">
      <c r="A452" t="s">
        <v>474</v>
      </c>
      <c r="B452" t="s">
        <v>273</v>
      </c>
      <c r="C452" t="s">
        <v>18</v>
      </c>
      <c r="D452" t="s">
        <v>1050</v>
      </c>
      <c r="E452">
        <v>73</v>
      </c>
      <c r="F452">
        <v>331</v>
      </c>
      <c r="G452">
        <v>128.57</v>
      </c>
      <c r="H452">
        <v>4</v>
      </c>
      <c r="I452">
        <v>1</v>
      </c>
      <c r="J452">
        <v>3</v>
      </c>
      <c r="K452" cm="1">
        <f t="array" ref="K452">IF(COUNTA(_xlfn.UNIQUE(_xlfn._xlws.FILTER($C$2:$C$1001,$B$2:$B$1001=B452)))=1,1,0)</f>
        <v>0</v>
      </c>
    </row>
    <row r="453" spans="1:11" x14ac:dyDescent="0.2">
      <c r="A453" t="s">
        <v>475</v>
      </c>
      <c r="B453" t="s">
        <v>270</v>
      </c>
      <c r="C453" t="s">
        <v>18</v>
      </c>
      <c r="D453" t="s">
        <v>1048</v>
      </c>
      <c r="E453">
        <v>9</v>
      </c>
      <c r="F453">
        <v>242</v>
      </c>
      <c r="G453">
        <v>290.29000000000002</v>
      </c>
      <c r="H453">
        <v>4</v>
      </c>
      <c r="I453">
        <v>2</v>
      </c>
      <c r="J453">
        <v>3</v>
      </c>
      <c r="K453" cm="1">
        <f t="array" ref="K453">IF(COUNTA(_xlfn.UNIQUE(_xlfn._xlws.FILTER($C$2:$C$1001,$B$2:$B$1001=B453)))=1,1,0)</f>
        <v>0</v>
      </c>
    </row>
    <row r="454" spans="1:11" x14ac:dyDescent="0.2">
      <c r="A454" t="s">
        <v>476</v>
      </c>
      <c r="B454" t="s">
        <v>270</v>
      </c>
      <c r="C454" t="s">
        <v>274</v>
      </c>
      <c r="D454" t="s">
        <v>1054</v>
      </c>
      <c r="E454">
        <v>86</v>
      </c>
      <c r="F454">
        <v>331</v>
      </c>
      <c r="G454">
        <v>144.38</v>
      </c>
      <c r="H454">
        <v>3</v>
      </c>
      <c r="I454">
        <v>1</v>
      </c>
      <c r="J454">
        <v>4</v>
      </c>
      <c r="K454" cm="1">
        <f t="array" ref="K454">IF(COUNTA(_xlfn.UNIQUE(_xlfn._xlws.FILTER($C$2:$C$1001,$B$2:$B$1001=B454)))=1,1,0)</f>
        <v>0</v>
      </c>
    </row>
    <row r="455" spans="1:11" x14ac:dyDescent="0.2">
      <c r="A455" t="s">
        <v>477</v>
      </c>
      <c r="B455" t="s">
        <v>273</v>
      </c>
      <c r="C455" t="s">
        <v>18</v>
      </c>
      <c r="D455" t="s">
        <v>1050</v>
      </c>
      <c r="E455">
        <v>47</v>
      </c>
      <c r="F455">
        <v>282</v>
      </c>
      <c r="G455">
        <v>166.73</v>
      </c>
      <c r="H455">
        <v>5</v>
      </c>
      <c r="I455">
        <v>2</v>
      </c>
      <c r="J455">
        <v>3</v>
      </c>
      <c r="K455" cm="1">
        <f t="array" ref="K455">IF(COUNTA(_xlfn.UNIQUE(_xlfn._xlws.FILTER($C$2:$C$1001,$B$2:$B$1001=B455)))=1,1,0)</f>
        <v>0</v>
      </c>
    </row>
    <row r="456" spans="1:11" x14ac:dyDescent="0.2">
      <c r="A456" t="s">
        <v>478</v>
      </c>
      <c r="B456" t="s">
        <v>273</v>
      </c>
      <c r="C456" t="s">
        <v>274</v>
      </c>
      <c r="D456" t="s">
        <v>1049</v>
      </c>
      <c r="E456">
        <v>14</v>
      </c>
      <c r="F456">
        <v>479</v>
      </c>
      <c r="G456">
        <v>102.67</v>
      </c>
      <c r="H456">
        <v>5</v>
      </c>
      <c r="I456">
        <v>1</v>
      </c>
      <c r="J456">
        <v>4</v>
      </c>
      <c r="K456" cm="1">
        <f t="array" ref="K456">IF(COUNTA(_xlfn.UNIQUE(_xlfn._xlws.FILTER($C$2:$C$1001,$B$2:$B$1001=B456)))=1,1,0)</f>
        <v>0</v>
      </c>
    </row>
    <row r="457" spans="1:11" x14ac:dyDescent="0.2">
      <c r="A457" t="s">
        <v>479</v>
      </c>
      <c r="B457" t="s">
        <v>281</v>
      </c>
      <c r="C457" t="s">
        <v>274</v>
      </c>
      <c r="D457" t="s">
        <v>1051</v>
      </c>
      <c r="E457">
        <v>51</v>
      </c>
      <c r="F457">
        <v>409</v>
      </c>
      <c r="G457">
        <v>136.34</v>
      </c>
      <c r="H457">
        <v>4</v>
      </c>
      <c r="I457">
        <v>1</v>
      </c>
      <c r="J457">
        <v>4</v>
      </c>
      <c r="K457" cm="1">
        <f t="array" ref="K457">IF(COUNTA(_xlfn.UNIQUE(_xlfn._xlws.FILTER($C$2:$C$1001,$B$2:$B$1001=B457)))=1,1,0)</f>
        <v>0</v>
      </c>
    </row>
    <row r="458" spans="1:11" x14ac:dyDescent="0.2">
      <c r="A458" t="s">
        <v>480</v>
      </c>
      <c r="B458" t="s">
        <v>281</v>
      </c>
      <c r="C458" t="s">
        <v>18</v>
      </c>
      <c r="D458" t="s">
        <v>1053</v>
      </c>
      <c r="E458">
        <v>73</v>
      </c>
      <c r="F458">
        <v>384</v>
      </c>
      <c r="G458">
        <v>260.76</v>
      </c>
      <c r="H458">
        <v>5</v>
      </c>
      <c r="I458">
        <v>1</v>
      </c>
      <c r="J458">
        <v>4</v>
      </c>
      <c r="K458" cm="1">
        <f t="array" ref="K458">IF(COUNTA(_xlfn.UNIQUE(_xlfn._xlws.FILTER($C$2:$C$1001,$B$2:$B$1001=B458)))=1,1,0)</f>
        <v>0</v>
      </c>
    </row>
    <row r="459" spans="1:11" x14ac:dyDescent="0.2">
      <c r="A459" t="s">
        <v>481</v>
      </c>
      <c r="B459" t="s">
        <v>270</v>
      </c>
      <c r="C459" t="s">
        <v>274</v>
      </c>
      <c r="D459" t="s">
        <v>1054</v>
      </c>
      <c r="E459">
        <v>36</v>
      </c>
      <c r="F459">
        <v>89</v>
      </c>
      <c r="G459">
        <v>245.85</v>
      </c>
      <c r="H459">
        <v>5</v>
      </c>
      <c r="I459">
        <v>3</v>
      </c>
      <c r="J459">
        <v>3</v>
      </c>
      <c r="K459" cm="1">
        <f t="array" ref="K459">IF(COUNTA(_xlfn.UNIQUE(_xlfn._xlws.FILTER($C$2:$C$1001,$B$2:$B$1001=B459)))=1,1,0)</f>
        <v>0</v>
      </c>
    </row>
    <row r="460" spans="1:11" x14ac:dyDescent="0.2">
      <c r="A460" t="s">
        <v>482</v>
      </c>
      <c r="B460" t="s">
        <v>270</v>
      </c>
      <c r="C460" t="s">
        <v>274</v>
      </c>
      <c r="D460" t="s">
        <v>1054</v>
      </c>
      <c r="E460">
        <v>54</v>
      </c>
      <c r="F460">
        <v>442</v>
      </c>
      <c r="G460">
        <v>268.47000000000003</v>
      </c>
      <c r="H460">
        <v>4</v>
      </c>
      <c r="I460">
        <v>3</v>
      </c>
      <c r="J460">
        <v>4</v>
      </c>
      <c r="K460" cm="1">
        <f t="array" ref="K460">IF(COUNTA(_xlfn.UNIQUE(_xlfn._xlws.FILTER($C$2:$C$1001,$B$2:$B$1001=B460)))=1,1,0)</f>
        <v>0</v>
      </c>
    </row>
    <row r="461" spans="1:11" x14ac:dyDescent="0.2">
      <c r="A461" t="s">
        <v>483</v>
      </c>
      <c r="B461" t="s">
        <v>273</v>
      </c>
      <c r="C461" t="s">
        <v>274</v>
      </c>
      <c r="D461" t="s">
        <v>1049</v>
      </c>
      <c r="E461">
        <v>87</v>
      </c>
      <c r="F461">
        <v>363</v>
      </c>
      <c r="G461">
        <v>185.21</v>
      </c>
      <c r="H461">
        <v>5</v>
      </c>
      <c r="I461">
        <v>2</v>
      </c>
      <c r="J461">
        <v>3</v>
      </c>
      <c r="K461" cm="1">
        <f t="array" ref="K461">IF(COUNTA(_xlfn.UNIQUE(_xlfn._xlws.FILTER($C$2:$C$1001,$B$2:$B$1001=B461)))=1,1,0)</f>
        <v>0</v>
      </c>
    </row>
    <row r="462" spans="1:11" x14ac:dyDescent="0.2">
      <c r="A462" t="s">
        <v>484</v>
      </c>
      <c r="B462" t="s">
        <v>270</v>
      </c>
      <c r="C462" t="s">
        <v>18</v>
      </c>
      <c r="D462" t="s">
        <v>1048</v>
      </c>
      <c r="E462">
        <v>35</v>
      </c>
      <c r="F462">
        <v>78</v>
      </c>
      <c r="G462">
        <v>224.09</v>
      </c>
      <c r="H462">
        <v>5</v>
      </c>
      <c r="I462">
        <v>1</v>
      </c>
      <c r="J462">
        <v>3</v>
      </c>
      <c r="K462" cm="1">
        <f t="array" ref="K462">IF(COUNTA(_xlfn.UNIQUE(_xlfn._xlws.FILTER($C$2:$C$1001,$B$2:$B$1001=B462)))=1,1,0)</f>
        <v>0</v>
      </c>
    </row>
    <row r="463" spans="1:11" x14ac:dyDescent="0.2">
      <c r="A463" t="s">
        <v>485</v>
      </c>
      <c r="B463" t="s">
        <v>281</v>
      </c>
      <c r="C463" t="s">
        <v>274</v>
      </c>
      <c r="D463" t="s">
        <v>1051</v>
      </c>
      <c r="E463">
        <v>68</v>
      </c>
      <c r="F463">
        <v>436</v>
      </c>
      <c r="G463">
        <v>251.74</v>
      </c>
      <c r="H463">
        <v>4</v>
      </c>
      <c r="I463">
        <v>1</v>
      </c>
      <c r="J463">
        <v>3</v>
      </c>
      <c r="K463" cm="1">
        <f t="array" ref="K463">IF(COUNTA(_xlfn.UNIQUE(_xlfn._xlws.FILTER($C$2:$C$1001,$B$2:$B$1001=B463)))=1,1,0)</f>
        <v>0</v>
      </c>
    </row>
    <row r="464" spans="1:11" x14ac:dyDescent="0.2">
      <c r="A464" t="s">
        <v>486</v>
      </c>
      <c r="B464" t="s">
        <v>281</v>
      </c>
      <c r="C464" t="s">
        <v>274</v>
      </c>
      <c r="D464" t="s">
        <v>1051</v>
      </c>
      <c r="E464">
        <v>46</v>
      </c>
      <c r="F464">
        <v>316</v>
      </c>
      <c r="G464">
        <v>182.99</v>
      </c>
      <c r="H464">
        <v>5</v>
      </c>
      <c r="I464">
        <v>1</v>
      </c>
      <c r="J464">
        <v>4</v>
      </c>
      <c r="K464" cm="1">
        <f t="array" ref="K464">IF(COUNTA(_xlfn.UNIQUE(_xlfn._xlws.FILTER($C$2:$C$1001,$B$2:$B$1001=B464)))=1,1,0)</f>
        <v>0</v>
      </c>
    </row>
    <row r="465" spans="1:11" x14ac:dyDescent="0.2">
      <c r="A465" t="s">
        <v>487</v>
      </c>
      <c r="B465" t="s">
        <v>273</v>
      </c>
      <c r="C465" t="s">
        <v>18</v>
      </c>
      <c r="D465" t="s">
        <v>1050</v>
      </c>
      <c r="E465">
        <v>8</v>
      </c>
      <c r="F465">
        <v>253</v>
      </c>
      <c r="G465">
        <v>184.97</v>
      </c>
      <c r="H465">
        <v>3</v>
      </c>
      <c r="I465">
        <v>2</v>
      </c>
      <c r="J465">
        <v>4</v>
      </c>
      <c r="K465" cm="1">
        <f t="array" ref="K465">IF(COUNTA(_xlfn.UNIQUE(_xlfn._xlws.FILTER($C$2:$C$1001,$B$2:$B$1001=B465)))=1,1,0)</f>
        <v>0</v>
      </c>
    </row>
    <row r="466" spans="1:11" x14ac:dyDescent="0.2">
      <c r="A466" t="s">
        <v>488</v>
      </c>
      <c r="B466" t="s">
        <v>281</v>
      </c>
      <c r="C466" t="s">
        <v>274</v>
      </c>
      <c r="D466" t="s">
        <v>1051</v>
      </c>
      <c r="E466">
        <v>73</v>
      </c>
      <c r="F466">
        <v>195</v>
      </c>
      <c r="G466">
        <v>264.37</v>
      </c>
      <c r="H466">
        <v>5</v>
      </c>
      <c r="I466">
        <v>1</v>
      </c>
      <c r="J466">
        <v>4</v>
      </c>
      <c r="K466" cm="1">
        <f t="array" ref="K466">IF(COUNTA(_xlfn.UNIQUE(_xlfn._xlws.FILTER($C$2:$C$1001,$B$2:$B$1001=B466)))=1,1,0)</f>
        <v>0</v>
      </c>
    </row>
    <row r="467" spans="1:11" x14ac:dyDescent="0.2">
      <c r="A467" t="s">
        <v>489</v>
      </c>
      <c r="B467" t="s">
        <v>281</v>
      </c>
      <c r="C467" t="s">
        <v>274</v>
      </c>
      <c r="D467" t="s">
        <v>1051</v>
      </c>
      <c r="E467">
        <v>33</v>
      </c>
      <c r="F467">
        <v>222</v>
      </c>
      <c r="G467">
        <v>145.01</v>
      </c>
      <c r="H467">
        <v>4</v>
      </c>
      <c r="I467">
        <v>1</v>
      </c>
      <c r="J467">
        <v>4</v>
      </c>
      <c r="K467" cm="1">
        <f t="array" ref="K467">IF(COUNTA(_xlfn.UNIQUE(_xlfn._xlws.FILTER($C$2:$C$1001,$B$2:$B$1001=B467)))=1,1,0)</f>
        <v>0</v>
      </c>
    </row>
    <row r="468" spans="1:11" x14ac:dyDescent="0.2">
      <c r="A468" t="s">
        <v>490</v>
      </c>
      <c r="B468" t="s">
        <v>285</v>
      </c>
      <c r="C468" t="s">
        <v>274</v>
      </c>
      <c r="D468" t="s">
        <v>1052</v>
      </c>
      <c r="E468">
        <v>76</v>
      </c>
      <c r="F468">
        <v>486</v>
      </c>
      <c r="G468">
        <v>112.63</v>
      </c>
      <c r="H468">
        <v>5</v>
      </c>
      <c r="I468">
        <v>3</v>
      </c>
      <c r="J468">
        <v>3</v>
      </c>
      <c r="K468" cm="1">
        <f t="array" ref="K468">IF(COUNTA(_xlfn.UNIQUE(_xlfn._xlws.FILTER($C$2:$C$1001,$B$2:$B$1001=B468)))=1,1,0)</f>
        <v>0</v>
      </c>
    </row>
    <row r="469" spans="1:11" x14ac:dyDescent="0.2">
      <c r="A469" t="s">
        <v>491</v>
      </c>
      <c r="B469" t="s">
        <v>285</v>
      </c>
      <c r="C469" t="s">
        <v>18</v>
      </c>
      <c r="D469" t="s">
        <v>1055</v>
      </c>
      <c r="E469">
        <v>28</v>
      </c>
      <c r="F469">
        <v>253</v>
      </c>
      <c r="G469">
        <v>239.79</v>
      </c>
      <c r="H469">
        <v>4</v>
      </c>
      <c r="I469">
        <v>3</v>
      </c>
      <c r="J469">
        <v>3</v>
      </c>
      <c r="K469" cm="1">
        <f t="array" ref="K469">IF(COUNTA(_xlfn.UNIQUE(_xlfn._xlws.FILTER($C$2:$C$1001,$B$2:$B$1001=B469)))=1,1,0)</f>
        <v>0</v>
      </c>
    </row>
    <row r="470" spans="1:11" x14ac:dyDescent="0.2">
      <c r="A470" t="s">
        <v>492</v>
      </c>
      <c r="B470" t="s">
        <v>281</v>
      </c>
      <c r="C470" t="s">
        <v>274</v>
      </c>
      <c r="D470" t="s">
        <v>1051</v>
      </c>
      <c r="E470">
        <v>62</v>
      </c>
      <c r="F470">
        <v>128</v>
      </c>
      <c r="G470">
        <v>277.69</v>
      </c>
      <c r="H470">
        <v>4</v>
      </c>
      <c r="I470">
        <v>1</v>
      </c>
      <c r="J470">
        <v>3</v>
      </c>
      <c r="K470" cm="1">
        <f t="array" ref="K470">IF(COUNTA(_xlfn.UNIQUE(_xlfn._xlws.FILTER($C$2:$C$1001,$B$2:$B$1001=B470)))=1,1,0)</f>
        <v>0</v>
      </c>
    </row>
    <row r="471" spans="1:11" x14ac:dyDescent="0.2">
      <c r="A471" t="s">
        <v>493</v>
      </c>
      <c r="B471" t="s">
        <v>281</v>
      </c>
      <c r="C471" t="s">
        <v>274</v>
      </c>
      <c r="D471" t="s">
        <v>1051</v>
      </c>
      <c r="E471">
        <v>14</v>
      </c>
      <c r="F471">
        <v>462</v>
      </c>
      <c r="G471">
        <v>165.06</v>
      </c>
      <c r="H471">
        <v>4</v>
      </c>
      <c r="I471">
        <v>2</v>
      </c>
      <c r="J471">
        <v>3</v>
      </c>
      <c r="K471" cm="1">
        <f t="array" ref="K471">IF(COUNTA(_xlfn.UNIQUE(_xlfn._xlws.FILTER($C$2:$C$1001,$B$2:$B$1001=B471)))=1,1,0)</f>
        <v>0</v>
      </c>
    </row>
    <row r="472" spans="1:11" x14ac:dyDescent="0.2">
      <c r="A472" t="s">
        <v>494</v>
      </c>
      <c r="B472" t="s">
        <v>270</v>
      </c>
      <c r="C472" t="s">
        <v>274</v>
      </c>
      <c r="D472" t="s">
        <v>1054</v>
      </c>
      <c r="E472">
        <v>37</v>
      </c>
      <c r="F472">
        <v>87</v>
      </c>
      <c r="G472">
        <v>241.37</v>
      </c>
      <c r="H472">
        <v>5</v>
      </c>
      <c r="I472">
        <v>1</v>
      </c>
      <c r="J472">
        <v>4</v>
      </c>
      <c r="K472" cm="1">
        <f t="array" ref="K472">IF(COUNTA(_xlfn.UNIQUE(_xlfn._xlws.FILTER($C$2:$C$1001,$B$2:$B$1001=B472)))=1,1,0)</f>
        <v>0</v>
      </c>
    </row>
    <row r="473" spans="1:11" x14ac:dyDescent="0.2">
      <c r="A473" t="s">
        <v>495</v>
      </c>
      <c r="B473" t="s">
        <v>270</v>
      </c>
      <c r="C473" t="s">
        <v>18</v>
      </c>
      <c r="D473" t="s">
        <v>1048</v>
      </c>
      <c r="E473">
        <v>41</v>
      </c>
      <c r="F473">
        <v>414</v>
      </c>
      <c r="G473">
        <v>271.60000000000002</v>
      </c>
      <c r="H473">
        <v>4</v>
      </c>
      <c r="I473">
        <v>1</v>
      </c>
      <c r="J473">
        <v>3</v>
      </c>
      <c r="K473" cm="1">
        <f t="array" ref="K473">IF(COUNTA(_xlfn.UNIQUE(_xlfn._xlws.FILTER($C$2:$C$1001,$B$2:$B$1001=B473)))=1,1,0)</f>
        <v>0</v>
      </c>
    </row>
    <row r="474" spans="1:11" x14ac:dyDescent="0.2">
      <c r="A474" t="s">
        <v>496</v>
      </c>
      <c r="B474" t="s">
        <v>285</v>
      </c>
      <c r="C474" t="s">
        <v>274</v>
      </c>
      <c r="D474" t="s">
        <v>1052</v>
      </c>
      <c r="E474">
        <v>44</v>
      </c>
      <c r="F474">
        <v>487</v>
      </c>
      <c r="G474">
        <v>269.83999999999997</v>
      </c>
      <c r="H474">
        <v>3</v>
      </c>
      <c r="I474">
        <v>2</v>
      </c>
      <c r="J474">
        <v>3</v>
      </c>
      <c r="K474" cm="1">
        <f t="array" ref="K474">IF(COUNTA(_xlfn.UNIQUE(_xlfn._xlws.FILTER($C$2:$C$1001,$B$2:$B$1001=B474)))=1,1,0)</f>
        <v>0</v>
      </c>
    </row>
    <row r="475" spans="1:11" x14ac:dyDescent="0.2">
      <c r="A475" t="s">
        <v>497</v>
      </c>
      <c r="B475" t="s">
        <v>270</v>
      </c>
      <c r="C475" t="s">
        <v>274</v>
      </c>
      <c r="D475" t="s">
        <v>1054</v>
      </c>
      <c r="E475">
        <v>9</v>
      </c>
      <c r="F475">
        <v>405</v>
      </c>
      <c r="G475">
        <v>224.75</v>
      </c>
      <c r="H475">
        <v>5</v>
      </c>
      <c r="I475">
        <v>2</v>
      </c>
      <c r="J475">
        <v>4</v>
      </c>
      <c r="K475" cm="1">
        <f t="array" ref="K475">IF(COUNTA(_xlfn.UNIQUE(_xlfn._xlws.FILTER($C$2:$C$1001,$B$2:$B$1001=B475)))=1,1,0)</f>
        <v>0</v>
      </c>
    </row>
    <row r="476" spans="1:11" x14ac:dyDescent="0.2">
      <c r="A476" t="s">
        <v>498</v>
      </c>
      <c r="B476" t="s">
        <v>285</v>
      </c>
      <c r="C476" t="s">
        <v>18</v>
      </c>
      <c r="D476" t="s">
        <v>1055</v>
      </c>
      <c r="E476">
        <v>49</v>
      </c>
      <c r="F476">
        <v>388</v>
      </c>
      <c r="G476">
        <v>180.47</v>
      </c>
      <c r="H476">
        <v>5</v>
      </c>
      <c r="I476">
        <v>2</v>
      </c>
      <c r="J476">
        <v>3</v>
      </c>
      <c r="K476" cm="1">
        <f t="array" ref="K476">IF(COUNTA(_xlfn.UNIQUE(_xlfn._xlws.FILTER($C$2:$C$1001,$B$2:$B$1001=B476)))=1,1,0)</f>
        <v>0</v>
      </c>
    </row>
    <row r="477" spans="1:11" x14ac:dyDescent="0.2">
      <c r="A477" t="s">
        <v>499</v>
      </c>
      <c r="B477" t="s">
        <v>281</v>
      </c>
      <c r="C477" t="s">
        <v>274</v>
      </c>
      <c r="D477" t="s">
        <v>1051</v>
      </c>
      <c r="E477">
        <v>61</v>
      </c>
      <c r="F477">
        <v>325</v>
      </c>
      <c r="G477">
        <v>177.85</v>
      </c>
      <c r="H477">
        <v>5</v>
      </c>
      <c r="I477">
        <v>1</v>
      </c>
      <c r="J477">
        <v>4</v>
      </c>
      <c r="K477" cm="1">
        <f t="array" ref="K477">IF(COUNTA(_xlfn.UNIQUE(_xlfn._xlws.FILTER($C$2:$C$1001,$B$2:$B$1001=B477)))=1,1,0)</f>
        <v>0</v>
      </c>
    </row>
    <row r="478" spans="1:11" x14ac:dyDescent="0.2">
      <c r="A478" t="s">
        <v>500</v>
      </c>
      <c r="B478" t="s">
        <v>285</v>
      </c>
      <c r="C478" t="s">
        <v>274</v>
      </c>
      <c r="D478" t="s">
        <v>1052</v>
      </c>
      <c r="E478">
        <v>48</v>
      </c>
      <c r="F478">
        <v>100</v>
      </c>
      <c r="G478">
        <v>142.33000000000001</v>
      </c>
      <c r="H478">
        <v>4</v>
      </c>
      <c r="I478">
        <v>1</v>
      </c>
      <c r="J478">
        <v>3</v>
      </c>
      <c r="K478" cm="1">
        <f t="array" ref="K478">IF(COUNTA(_xlfn.UNIQUE(_xlfn._xlws.FILTER($C$2:$C$1001,$B$2:$B$1001=B478)))=1,1,0)</f>
        <v>0</v>
      </c>
    </row>
    <row r="479" spans="1:11" x14ac:dyDescent="0.2">
      <c r="A479" t="s">
        <v>501</v>
      </c>
      <c r="B479" t="s">
        <v>285</v>
      </c>
      <c r="C479" t="s">
        <v>18</v>
      </c>
      <c r="D479" t="s">
        <v>1055</v>
      </c>
      <c r="E479">
        <v>88</v>
      </c>
      <c r="F479">
        <v>337</v>
      </c>
      <c r="G479">
        <v>200.8</v>
      </c>
      <c r="H479">
        <v>5</v>
      </c>
      <c r="I479">
        <v>1</v>
      </c>
      <c r="J479">
        <v>3</v>
      </c>
      <c r="K479" cm="1">
        <f t="array" ref="K479">IF(COUNTA(_xlfn.UNIQUE(_xlfn._xlws.FILTER($C$2:$C$1001,$B$2:$B$1001=B479)))=1,1,0)</f>
        <v>0</v>
      </c>
    </row>
    <row r="480" spans="1:11" x14ac:dyDescent="0.2">
      <c r="A480" t="s">
        <v>502</v>
      </c>
      <c r="B480" t="s">
        <v>285</v>
      </c>
      <c r="C480" t="s">
        <v>18</v>
      </c>
      <c r="D480" t="s">
        <v>1055</v>
      </c>
      <c r="E480">
        <v>60</v>
      </c>
      <c r="F480">
        <v>182</v>
      </c>
      <c r="G480">
        <v>133.47</v>
      </c>
      <c r="H480">
        <v>3</v>
      </c>
      <c r="I480">
        <v>1</v>
      </c>
      <c r="J480">
        <v>3</v>
      </c>
      <c r="K480" cm="1">
        <f t="array" ref="K480">IF(COUNTA(_xlfn.UNIQUE(_xlfn._xlws.FILTER($C$2:$C$1001,$B$2:$B$1001=B480)))=1,1,0)</f>
        <v>0</v>
      </c>
    </row>
    <row r="481" spans="1:11" x14ac:dyDescent="0.2">
      <c r="A481" t="s">
        <v>503</v>
      </c>
      <c r="B481" t="s">
        <v>281</v>
      </c>
      <c r="C481" t="s">
        <v>274</v>
      </c>
      <c r="D481" t="s">
        <v>1051</v>
      </c>
      <c r="E481">
        <v>53</v>
      </c>
      <c r="F481">
        <v>376</v>
      </c>
      <c r="G481">
        <v>249.56</v>
      </c>
      <c r="H481">
        <v>5</v>
      </c>
      <c r="I481">
        <v>1</v>
      </c>
      <c r="J481">
        <v>4</v>
      </c>
      <c r="K481" cm="1">
        <f t="array" ref="K481">IF(COUNTA(_xlfn.UNIQUE(_xlfn._xlws.FILTER($C$2:$C$1001,$B$2:$B$1001=B481)))=1,1,0)</f>
        <v>0</v>
      </c>
    </row>
    <row r="482" spans="1:11" x14ac:dyDescent="0.2">
      <c r="A482" t="s">
        <v>504</v>
      </c>
      <c r="B482" t="s">
        <v>273</v>
      </c>
      <c r="C482" t="s">
        <v>18</v>
      </c>
      <c r="D482" t="s">
        <v>1050</v>
      </c>
      <c r="E482">
        <v>85</v>
      </c>
      <c r="F482">
        <v>453</v>
      </c>
      <c r="G482">
        <v>133.94999999999999</v>
      </c>
      <c r="H482">
        <v>5</v>
      </c>
      <c r="I482">
        <v>3</v>
      </c>
      <c r="J482">
        <v>4</v>
      </c>
      <c r="K482" cm="1">
        <f t="array" ref="K482">IF(COUNTA(_xlfn.UNIQUE(_xlfn._xlws.FILTER($C$2:$C$1001,$B$2:$B$1001=B482)))=1,1,0)</f>
        <v>0</v>
      </c>
    </row>
    <row r="483" spans="1:11" x14ac:dyDescent="0.2">
      <c r="A483" t="s">
        <v>505</v>
      </c>
      <c r="B483" t="s">
        <v>285</v>
      </c>
      <c r="C483" t="s">
        <v>274</v>
      </c>
      <c r="D483" t="s">
        <v>1052</v>
      </c>
      <c r="E483">
        <v>83</v>
      </c>
      <c r="F483">
        <v>215</v>
      </c>
      <c r="G483">
        <v>237.14</v>
      </c>
      <c r="H483">
        <v>5</v>
      </c>
      <c r="I483">
        <v>1</v>
      </c>
      <c r="J483">
        <v>3</v>
      </c>
      <c r="K483" cm="1">
        <f t="array" ref="K483">IF(COUNTA(_xlfn.UNIQUE(_xlfn._xlws.FILTER($C$2:$C$1001,$B$2:$B$1001=B483)))=1,1,0)</f>
        <v>0</v>
      </c>
    </row>
    <row r="484" spans="1:11" x14ac:dyDescent="0.2">
      <c r="A484" t="s">
        <v>506</v>
      </c>
      <c r="B484" t="s">
        <v>281</v>
      </c>
      <c r="C484" t="s">
        <v>274</v>
      </c>
      <c r="D484" t="s">
        <v>1051</v>
      </c>
      <c r="E484">
        <v>26</v>
      </c>
      <c r="F484">
        <v>341</v>
      </c>
      <c r="G484">
        <v>155.4</v>
      </c>
      <c r="H484">
        <v>5</v>
      </c>
      <c r="I484">
        <v>1</v>
      </c>
      <c r="J484">
        <v>4</v>
      </c>
      <c r="K484" cm="1">
        <f t="array" ref="K484">IF(COUNTA(_xlfn.UNIQUE(_xlfn._xlws.FILTER($C$2:$C$1001,$B$2:$B$1001=B484)))=1,1,0)</f>
        <v>0</v>
      </c>
    </row>
    <row r="485" spans="1:11" x14ac:dyDescent="0.2">
      <c r="A485" t="s">
        <v>507</v>
      </c>
      <c r="B485" t="s">
        <v>285</v>
      </c>
      <c r="C485" t="s">
        <v>18</v>
      </c>
      <c r="D485" t="s">
        <v>1055</v>
      </c>
      <c r="E485">
        <v>13</v>
      </c>
      <c r="F485">
        <v>258</v>
      </c>
      <c r="G485">
        <v>146.16</v>
      </c>
      <c r="H485">
        <v>4</v>
      </c>
      <c r="I485">
        <v>2</v>
      </c>
      <c r="J485">
        <v>4</v>
      </c>
      <c r="K485" cm="1">
        <f t="array" ref="K485">IF(COUNTA(_xlfn.UNIQUE(_xlfn._xlws.FILTER($C$2:$C$1001,$B$2:$B$1001=B485)))=1,1,0)</f>
        <v>0</v>
      </c>
    </row>
    <row r="486" spans="1:11" x14ac:dyDescent="0.2">
      <c r="A486" t="s">
        <v>508</v>
      </c>
      <c r="B486" t="s">
        <v>285</v>
      </c>
      <c r="C486" t="s">
        <v>274</v>
      </c>
      <c r="D486" t="s">
        <v>1052</v>
      </c>
      <c r="E486">
        <v>41</v>
      </c>
      <c r="F486">
        <v>481</v>
      </c>
      <c r="G486">
        <v>277.22000000000003</v>
      </c>
      <c r="H486">
        <v>5</v>
      </c>
      <c r="I486">
        <v>1</v>
      </c>
      <c r="J486">
        <v>3</v>
      </c>
      <c r="K486" cm="1">
        <f t="array" ref="K486">IF(COUNTA(_xlfn.UNIQUE(_xlfn._xlws.FILTER($C$2:$C$1001,$B$2:$B$1001=B486)))=1,1,0)</f>
        <v>0</v>
      </c>
    </row>
    <row r="487" spans="1:11" x14ac:dyDescent="0.2">
      <c r="A487" t="s">
        <v>509</v>
      </c>
      <c r="B487" t="s">
        <v>270</v>
      </c>
      <c r="C487" t="s">
        <v>274</v>
      </c>
      <c r="D487" t="s">
        <v>1054</v>
      </c>
      <c r="E487">
        <v>26</v>
      </c>
      <c r="F487">
        <v>288</v>
      </c>
      <c r="G487">
        <v>279.47000000000003</v>
      </c>
      <c r="H487">
        <v>5</v>
      </c>
      <c r="I487">
        <v>2</v>
      </c>
      <c r="J487">
        <v>3</v>
      </c>
      <c r="K487" cm="1">
        <f t="array" ref="K487">IF(COUNTA(_xlfn.UNIQUE(_xlfn._xlws.FILTER($C$2:$C$1001,$B$2:$B$1001=B487)))=1,1,0)</f>
        <v>0</v>
      </c>
    </row>
    <row r="488" spans="1:11" x14ac:dyDescent="0.2">
      <c r="A488" t="s">
        <v>510</v>
      </c>
      <c r="B488" t="s">
        <v>285</v>
      </c>
      <c r="C488" t="s">
        <v>274</v>
      </c>
      <c r="D488" t="s">
        <v>1052</v>
      </c>
      <c r="E488">
        <v>17</v>
      </c>
      <c r="F488">
        <v>482</v>
      </c>
      <c r="G488">
        <v>295.07</v>
      </c>
      <c r="H488">
        <v>3</v>
      </c>
      <c r="I488">
        <v>2</v>
      </c>
      <c r="J488">
        <v>3</v>
      </c>
      <c r="K488" cm="1">
        <f t="array" ref="K488">IF(COUNTA(_xlfn.UNIQUE(_xlfn._xlws.FILTER($C$2:$C$1001,$B$2:$B$1001=B488)))=1,1,0)</f>
        <v>0</v>
      </c>
    </row>
    <row r="489" spans="1:11" x14ac:dyDescent="0.2">
      <c r="A489" t="s">
        <v>511</v>
      </c>
      <c r="B489" t="s">
        <v>281</v>
      </c>
      <c r="C489" t="s">
        <v>274</v>
      </c>
      <c r="D489" t="s">
        <v>1051</v>
      </c>
      <c r="E489">
        <v>9</v>
      </c>
      <c r="F489">
        <v>339</v>
      </c>
      <c r="G489">
        <v>142.16</v>
      </c>
      <c r="H489">
        <v>5</v>
      </c>
      <c r="I489">
        <v>2</v>
      </c>
      <c r="J489">
        <v>3</v>
      </c>
      <c r="K489" cm="1">
        <f t="array" ref="K489">IF(COUNTA(_xlfn.UNIQUE(_xlfn._xlws.FILTER($C$2:$C$1001,$B$2:$B$1001=B489)))=1,1,0)</f>
        <v>0</v>
      </c>
    </row>
    <row r="490" spans="1:11" x14ac:dyDescent="0.2">
      <c r="A490" t="s">
        <v>512</v>
      </c>
      <c r="B490" t="s">
        <v>273</v>
      </c>
      <c r="C490" t="s">
        <v>274</v>
      </c>
      <c r="D490" t="s">
        <v>1049</v>
      </c>
      <c r="E490">
        <v>70</v>
      </c>
      <c r="F490">
        <v>345</v>
      </c>
      <c r="G490">
        <v>293.55</v>
      </c>
      <c r="H490">
        <v>5</v>
      </c>
      <c r="I490">
        <v>1</v>
      </c>
      <c r="J490">
        <v>4</v>
      </c>
      <c r="K490" cm="1">
        <f t="array" ref="K490">IF(COUNTA(_xlfn.UNIQUE(_xlfn._xlws.FILTER($C$2:$C$1001,$B$2:$B$1001=B490)))=1,1,0)</f>
        <v>0</v>
      </c>
    </row>
    <row r="491" spans="1:11" x14ac:dyDescent="0.2">
      <c r="A491" t="s">
        <v>513</v>
      </c>
      <c r="B491" t="s">
        <v>285</v>
      </c>
      <c r="C491" t="s">
        <v>274</v>
      </c>
      <c r="D491" t="s">
        <v>1052</v>
      </c>
      <c r="E491">
        <v>42</v>
      </c>
      <c r="F491">
        <v>187</v>
      </c>
      <c r="G491">
        <v>104.1</v>
      </c>
      <c r="H491">
        <v>3</v>
      </c>
      <c r="I491">
        <v>1</v>
      </c>
      <c r="J491">
        <v>3</v>
      </c>
      <c r="K491" cm="1">
        <f t="array" ref="K491">IF(COUNTA(_xlfn.UNIQUE(_xlfn._xlws.FILTER($C$2:$C$1001,$B$2:$B$1001=B491)))=1,1,0)</f>
        <v>0</v>
      </c>
    </row>
    <row r="492" spans="1:11" x14ac:dyDescent="0.2">
      <c r="A492" t="s">
        <v>514</v>
      </c>
      <c r="B492" t="s">
        <v>273</v>
      </c>
      <c r="C492" t="s">
        <v>274</v>
      </c>
      <c r="D492" t="s">
        <v>1049</v>
      </c>
      <c r="E492">
        <v>28</v>
      </c>
      <c r="F492">
        <v>387</v>
      </c>
      <c r="G492">
        <v>279.64999999999998</v>
      </c>
      <c r="H492">
        <v>5</v>
      </c>
      <c r="I492">
        <v>3</v>
      </c>
      <c r="J492">
        <v>4</v>
      </c>
      <c r="K492" cm="1">
        <f t="array" ref="K492">IF(COUNTA(_xlfn.UNIQUE(_xlfn._xlws.FILTER($C$2:$C$1001,$B$2:$B$1001=B492)))=1,1,0)</f>
        <v>0</v>
      </c>
    </row>
    <row r="493" spans="1:11" x14ac:dyDescent="0.2">
      <c r="A493" t="s">
        <v>515</v>
      </c>
      <c r="B493" t="s">
        <v>281</v>
      </c>
      <c r="C493" t="s">
        <v>274</v>
      </c>
      <c r="D493" t="s">
        <v>1051</v>
      </c>
      <c r="E493">
        <v>46</v>
      </c>
      <c r="F493">
        <v>351</v>
      </c>
      <c r="G493">
        <v>241.34</v>
      </c>
      <c r="H493">
        <v>4</v>
      </c>
      <c r="I493">
        <v>1</v>
      </c>
      <c r="J493">
        <v>4</v>
      </c>
      <c r="K493" cm="1">
        <f t="array" ref="K493">IF(COUNTA(_xlfn.UNIQUE(_xlfn._xlws.FILTER($C$2:$C$1001,$B$2:$B$1001=B493)))=1,1,0)</f>
        <v>0</v>
      </c>
    </row>
    <row r="494" spans="1:11" x14ac:dyDescent="0.2">
      <c r="A494" t="s">
        <v>516</v>
      </c>
      <c r="B494" t="s">
        <v>285</v>
      </c>
      <c r="C494" t="s">
        <v>18</v>
      </c>
      <c r="D494" t="s">
        <v>1055</v>
      </c>
      <c r="E494">
        <v>63</v>
      </c>
      <c r="F494">
        <v>161</v>
      </c>
      <c r="G494">
        <v>224.8</v>
      </c>
      <c r="H494">
        <v>4</v>
      </c>
      <c r="I494">
        <v>3</v>
      </c>
      <c r="J494">
        <v>4</v>
      </c>
      <c r="K494" cm="1">
        <f t="array" ref="K494">IF(COUNTA(_xlfn.UNIQUE(_xlfn._xlws.FILTER($C$2:$C$1001,$B$2:$B$1001=B494)))=1,1,0)</f>
        <v>0</v>
      </c>
    </row>
    <row r="495" spans="1:11" x14ac:dyDescent="0.2">
      <c r="A495" t="s">
        <v>517</v>
      </c>
      <c r="B495" t="s">
        <v>270</v>
      </c>
      <c r="C495" t="s">
        <v>274</v>
      </c>
      <c r="D495" t="s">
        <v>1054</v>
      </c>
      <c r="E495">
        <v>82</v>
      </c>
      <c r="F495">
        <v>314</v>
      </c>
      <c r="G495">
        <v>183.72</v>
      </c>
      <c r="H495">
        <v>5</v>
      </c>
      <c r="I495">
        <v>2</v>
      </c>
      <c r="J495">
        <v>4</v>
      </c>
      <c r="K495" cm="1">
        <f t="array" ref="K495">IF(COUNTA(_xlfn.UNIQUE(_xlfn._xlws.FILTER($C$2:$C$1001,$B$2:$B$1001=B495)))=1,1,0)</f>
        <v>0</v>
      </c>
    </row>
    <row r="496" spans="1:11" x14ac:dyDescent="0.2">
      <c r="A496" t="s">
        <v>518</v>
      </c>
      <c r="B496" t="s">
        <v>285</v>
      </c>
      <c r="C496" t="s">
        <v>18</v>
      </c>
      <c r="D496" t="s">
        <v>1055</v>
      </c>
      <c r="E496">
        <v>88</v>
      </c>
      <c r="F496">
        <v>368</v>
      </c>
      <c r="G496">
        <v>139.85</v>
      </c>
      <c r="H496">
        <v>3</v>
      </c>
      <c r="I496">
        <v>1</v>
      </c>
      <c r="J496">
        <v>3</v>
      </c>
      <c r="K496" cm="1">
        <f t="array" ref="K496">IF(COUNTA(_xlfn.UNIQUE(_xlfn._xlws.FILTER($C$2:$C$1001,$B$2:$B$1001=B496)))=1,1,0)</f>
        <v>0</v>
      </c>
    </row>
    <row r="497" spans="1:11" x14ac:dyDescent="0.2">
      <c r="A497" t="s">
        <v>519</v>
      </c>
      <c r="B497" t="s">
        <v>273</v>
      </c>
      <c r="C497" t="s">
        <v>18</v>
      </c>
      <c r="D497" t="s">
        <v>1050</v>
      </c>
      <c r="E497">
        <v>54</v>
      </c>
      <c r="F497">
        <v>477</v>
      </c>
      <c r="G497">
        <v>198.51</v>
      </c>
      <c r="H497">
        <v>4</v>
      </c>
      <c r="I497">
        <v>2</v>
      </c>
      <c r="J497">
        <v>4</v>
      </c>
      <c r="K497" cm="1">
        <f t="array" ref="K497">IF(COUNTA(_xlfn.UNIQUE(_xlfn._xlws.FILTER($C$2:$C$1001,$B$2:$B$1001=B497)))=1,1,0)</f>
        <v>0</v>
      </c>
    </row>
    <row r="498" spans="1:11" x14ac:dyDescent="0.2">
      <c r="A498" t="s">
        <v>520</v>
      </c>
      <c r="B498" t="s">
        <v>281</v>
      </c>
      <c r="C498" t="s">
        <v>274</v>
      </c>
      <c r="D498" t="s">
        <v>1051</v>
      </c>
      <c r="E498">
        <v>87</v>
      </c>
      <c r="F498">
        <v>236</v>
      </c>
      <c r="G498">
        <v>239.71</v>
      </c>
      <c r="H498">
        <v>4</v>
      </c>
      <c r="I498">
        <v>1</v>
      </c>
      <c r="J498">
        <v>3</v>
      </c>
      <c r="K498" cm="1">
        <f t="array" ref="K498">IF(COUNTA(_xlfn.UNIQUE(_xlfn._xlws.FILTER($C$2:$C$1001,$B$2:$B$1001=B498)))=1,1,0)</f>
        <v>0</v>
      </c>
    </row>
    <row r="499" spans="1:11" x14ac:dyDescent="0.2">
      <c r="A499" t="s">
        <v>521</v>
      </c>
      <c r="B499" t="s">
        <v>273</v>
      </c>
      <c r="C499" t="s">
        <v>274</v>
      </c>
      <c r="D499" t="s">
        <v>1049</v>
      </c>
      <c r="E499">
        <v>83</v>
      </c>
      <c r="F499">
        <v>237</v>
      </c>
      <c r="G499">
        <v>213.55</v>
      </c>
      <c r="H499">
        <v>5</v>
      </c>
      <c r="I499">
        <v>1</v>
      </c>
      <c r="J499">
        <v>4</v>
      </c>
      <c r="K499" cm="1">
        <f t="array" ref="K499">IF(COUNTA(_xlfn.UNIQUE(_xlfn._xlws.FILTER($C$2:$C$1001,$B$2:$B$1001=B499)))=1,1,0)</f>
        <v>0</v>
      </c>
    </row>
    <row r="500" spans="1:11" x14ac:dyDescent="0.2">
      <c r="A500" t="s">
        <v>522</v>
      </c>
      <c r="B500" t="s">
        <v>285</v>
      </c>
      <c r="C500" t="s">
        <v>18</v>
      </c>
      <c r="D500" t="s">
        <v>1055</v>
      </c>
      <c r="E500">
        <v>86</v>
      </c>
      <c r="F500">
        <v>169</v>
      </c>
      <c r="G500">
        <v>126.33</v>
      </c>
      <c r="H500">
        <v>5</v>
      </c>
      <c r="I500">
        <v>1</v>
      </c>
      <c r="J500">
        <v>4</v>
      </c>
      <c r="K500" cm="1">
        <f t="array" ref="K500">IF(COUNTA(_xlfn.UNIQUE(_xlfn._xlws.FILTER($C$2:$C$1001,$B$2:$B$1001=B500)))=1,1,0)</f>
        <v>0</v>
      </c>
    </row>
    <row r="501" spans="1:11" x14ac:dyDescent="0.2">
      <c r="A501" t="s">
        <v>523</v>
      </c>
      <c r="B501" t="s">
        <v>281</v>
      </c>
      <c r="C501" t="s">
        <v>274</v>
      </c>
      <c r="D501" t="s">
        <v>1051</v>
      </c>
      <c r="E501">
        <v>16</v>
      </c>
      <c r="F501">
        <v>296</v>
      </c>
      <c r="G501">
        <v>215.32</v>
      </c>
      <c r="H501">
        <v>5</v>
      </c>
      <c r="I501">
        <v>2</v>
      </c>
      <c r="J501">
        <v>4</v>
      </c>
      <c r="K501" cm="1">
        <f t="array" ref="K501">IF(COUNTA(_xlfn.UNIQUE(_xlfn._xlws.FILTER($C$2:$C$1001,$B$2:$B$1001=B501)))=1,1,0)</f>
        <v>0</v>
      </c>
    </row>
    <row r="502" spans="1:11" x14ac:dyDescent="0.2">
      <c r="A502" t="s">
        <v>524</v>
      </c>
      <c r="B502" t="s">
        <v>270</v>
      </c>
      <c r="C502" t="s">
        <v>18</v>
      </c>
      <c r="D502" t="s">
        <v>1048</v>
      </c>
      <c r="E502">
        <v>47</v>
      </c>
      <c r="F502">
        <v>364</v>
      </c>
      <c r="G502">
        <v>167.5</v>
      </c>
      <c r="H502">
        <v>5</v>
      </c>
      <c r="I502">
        <v>1</v>
      </c>
      <c r="J502">
        <v>3</v>
      </c>
      <c r="K502" cm="1">
        <f t="array" ref="K502">IF(COUNTA(_xlfn.UNIQUE(_xlfn._xlws.FILTER($C$2:$C$1001,$B$2:$B$1001=B502)))=1,1,0)</f>
        <v>0</v>
      </c>
    </row>
    <row r="503" spans="1:11" x14ac:dyDescent="0.2">
      <c r="A503" t="s">
        <v>525</v>
      </c>
      <c r="B503" t="s">
        <v>526</v>
      </c>
      <c r="C503" t="s">
        <v>527</v>
      </c>
      <c r="D503" t="s">
        <v>1056</v>
      </c>
      <c r="E503">
        <v>48</v>
      </c>
      <c r="F503">
        <v>4558</v>
      </c>
      <c r="G503">
        <v>137.41</v>
      </c>
      <c r="H503">
        <v>1</v>
      </c>
      <c r="I503">
        <v>5</v>
      </c>
      <c r="J503">
        <v>1</v>
      </c>
      <c r="K503" cm="1">
        <f t="array" ref="K503">IF(COUNTA(_xlfn.UNIQUE(_xlfn._xlws.FILTER($C$2:$C$1001,$B$2:$B$1001=B503)))=1,1,0)</f>
        <v>0</v>
      </c>
    </row>
    <row r="504" spans="1:11" x14ac:dyDescent="0.2">
      <c r="A504" t="s">
        <v>529</v>
      </c>
      <c r="B504" t="s">
        <v>530</v>
      </c>
      <c r="C504" t="s">
        <v>527</v>
      </c>
      <c r="D504" t="s">
        <v>1057</v>
      </c>
      <c r="E504">
        <v>23</v>
      </c>
      <c r="F504">
        <v>1336</v>
      </c>
      <c r="G504">
        <v>87.65</v>
      </c>
      <c r="H504">
        <v>2</v>
      </c>
      <c r="I504">
        <v>4</v>
      </c>
      <c r="J504">
        <v>2</v>
      </c>
      <c r="K504" cm="1">
        <f t="array" ref="K504">IF(COUNTA(_xlfn.UNIQUE(_xlfn._xlws.FILTER($C$2:$C$1001,$B$2:$B$1001=B504)))=1,1,0)</f>
        <v>0</v>
      </c>
    </row>
    <row r="505" spans="1:11" x14ac:dyDescent="0.2">
      <c r="A505" t="s">
        <v>531</v>
      </c>
      <c r="B505" t="s">
        <v>532</v>
      </c>
      <c r="C505" t="s">
        <v>18</v>
      </c>
      <c r="D505" t="s">
        <v>1058</v>
      </c>
      <c r="E505">
        <v>65</v>
      </c>
      <c r="F505">
        <v>5204</v>
      </c>
      <c r="G505">
        <v>142.07</v>
      </c>
      <c r="H505">
        <v>2</v>
      </c>
      <c r="I505">
        <v>5</v>
      </c>
      <c r="J505">
        <v>1</v>
      </c>
      <c r="K505" cm="1">
        <f t="array" ref="K505">IF(COUNTA(_xlfn.UNIQUE(_xlfn._xlws.FILTER($C$2:$C$1001,$B$2:$B$1001=B505)))=1,1,0)</f>
        <v>0</v>
      </c>
    </row>
    <row r="506" spans="1:11" x14ac:dyDescent="0.2">
      <c r="A506" t="s">
        <v>533</v>
      </c>
      <c r="B506" t="s">
        <v>534</v>
      </c>
      <c r="C506" t="s">
        <v>274</v>
      </c>
      <c r="D506" t="s">
        <v>1059</v>
      </c>
      <c r="E506">
        <v>23</v>
      </c>
      <c r="F506">
        <v>6592</v>
      </c>
      <c r="G506">
        <v>96.63</v>
      </c>
      <c r="H506">
        <v>1</v>
      </c>
      <c r="I506">
        <v>4</v>
      </c>
      <c r="J506">
        <v>1</v>
      </c>
      <c r="K506" cm="1">
        <f t="array" ref="K506">IF(COUNTA(_xlfn.UNIQUE(_xlfn._xlws.FILTER($C$2:$C$1001,$B$2:$B$1001=B506)))=1,1,0)</f>
        <v>0</v>
      </c>
    </row>
    <row r="507" spans="1:11" x14ac:dyDescent="0.2">
      <c r="A507" t="s">
        <v>535</v>
      </c>
      <c r="B507" t="s">
        <v>530</v>
      </c>
      <c r="C507" t="s">
        <v>527</v>
      </c>
      <c r="D507" t="s">
        <v>1057</v>
      </c>
      <c r="E507">
        <v>27</v>
      </c>
      <c r="F507">
        <v>2756</v>
      </c>
      <c r="G507">
        <v>126.94</v>
      </c>
      <c r="H507">
        <v>2</v>
      </c>
      <c r="I507">
        <v>3</v>
      </c>
      <c r="J507">
        <v>2</v>
      </c>
      <c r="K507" cm="1">
        <f t="array" ref="K507">IF(COUNTA(_xlfn.UNIQUE(_xlfn._xlws.FILTER($C$2:$C$1001,$B$2:$B$1001=B507)))=1,1,0)</f>
        <v>0</v>
      </c>
    </row>
    <row r="508" spans="1:11" x14ac:dyDescent="0.2">
      <c r="A508" t="s">
        <v>536</v>
      </c>
      <c r="B508" t="s">
        <v>532</v>
      </c>
      <c r="C508" t="s">
        <v>274</v>
      </c>
      <c r="D508" t="s">
        <v>1060</v>
      </c>
      <c r="E508">
        <v>58</v>
      </c>
      <c r="F508">
        <v>7771</v>
      </c>
      <c r="G508">
        <v>101.06</v>
      </c>
      <c r="H508">
        <v>2</v>
      </c>
      <c r="I508">
        <v>3</v>
      </c>
      <c r="J508">
        <v>1</v>
      </c>
      <c r="K508" cm="1">
        <f t="array" ref="K508">IF(COUNTA(_xlfn.UNIQUE(_xlfn._xlws.FILTER($C$2:$C$1001,$B$2:$B$1001=B508)))=1,1,0)</f>
        <v>0</v>
      </c>
    </row>
    <row r="509" spans="1:11" x14ac:dyDescent="0.2">
      <c r="A509" t="s">
        <v>537</v>
      </c>
      <c r="B509" t="s">
        <v>530</v>
      </c>
      <c r="C509" t="s">
        <v>18</v>
      </c>
      <c r="D509" t="s">
        <v>1061</v>
      </c>
      <c r="E509">
        <v>86</v>
      </c>
      <c r="F509">
        <v>2717</v>
      </c>
      <c r="G509">
        <v>93.82</v>
      </c>
      <c r="H509">
        <v>2</v>
      </c>
      <c r="I509">
        <v>4</v>
      </c>
      <c r="J509">
        <v>1</v>
      </c>
      <c r="K509" cm="1">
        <f t="array" ref="K509">IF(COUNTA(_xlfn.UNIQUE(_xlfn._xlws.FILTER($C$2:$C$1001,$B$2:$B$1001=B509)))=1,1,0)</f>
        <v>0</v>
      </c>
    </row>
    <row r="510" spans="1:11" x14ac:dyDescent="0.2">
      <c r="A510" t="s">
        <v>538</v>
      </c>
      <c r="B510" t="s">
        <v>534</v>
      </c>
      <c r="C510" t="s">
        <v>18</v>
      </c>
      <c r="D510" t="s">
        <v>1062</v>
      </c>
      <c r="E510">
        <v>48</v>
      </c>
      <c r="F510">
        <v>4308</v>
      </c>
      <c r="G510">
        <v>96.57</v>
      </c>
      <c r="H510">
        <v>2</v>
      </c>
      <c r="I510">
        <v>3</v>
      </c>
      <c r="J510">
        <v>2</v>
      </c>
      <c r="K510" cm="1">
        <f t="array" ref="K510">IF(COUNTA(_xlfn.UNIQUE(_xlfn._xlws.FILTER($C$2:$C$1001,$B$2:$B$1001=B510)))=1,1,0)</f>
        <v>0</v>
      </c>
    </row>
    <row r="511" spans="1:11" x14ac:dyDescent="0.2">
      <c r="A511" t="s">
        <v>539</v>
      </c>
      <c r="B511" t="s">
        <v>530</v>
      </c>
      <c r="C511" t="s">
        <v>527</v>
      </c>
      <c r="D511" t="s">
        <v>1057</v>
      </c>
      <c r="E511">
        <v>46</v>
      </c>
      <c r="F511">
        <v>7416</v>
      </c>
      <c r="G511">
        <v>106.85</v>
      </c>
      <c r="H511">
        <v>1</v>
      </c>
      <c r="I511">
        <v>3</v>
      </c>
      <c r="J511">
        <v>1</v>
      </c>
      <c r="K511" cm="1">
        <f t="array" ref="K511">IF(COUNTA(_xlfn.UNIQUE(_xlfn._xlws.FILTER($C$2:$C$1001,$B$2:$B$1001=B511)))=1,1,0)</f>
        <v>0</v>
      </c>
    </row>
    <row r="512" spans="1:11" x14ac:dyDescent="0.2">
      <c r="A512" t="s">
        <v>540</v>
      </c>
      <c r="B512" t="s">
        <v>526</v>
      </c>
      <c r="C512" t="s">
        <v>274</v>
      </c>
      <c r="D512" t="s">
        <v>1063</v>
      </c>
      <c r="E512">
        <v>17</v>
      </c>
      <c r="F512">
        <v>9100</v>
      </c>
      <c r="G512">
        <v>86.59</v>
      </c>
      <c r="H512">
        <v>1</v>
      </c>
      <c r="I512">
        <v>4</v>
      </c>
      <c r="J512">
        <v>1</v>
      </c>
      <c r="K512" cm="1">
        <f t="array" ref="K512">IF(COUNTA(_xlfn.UNIQUE(_xlfn._xlws.FILTER($C$2:$C$1001,$B$2:$B$1001=B512)))=1,1,0)</f>
        <v>0</v>
      </c>
    </row>
    <row r="513" spans="1:11" x14ac:dyDescent="0.2">
      <c r="A513" t="s">
        <v>541</v>
      </c>
      <c r="B513" t="s">
        <v>532</v>
      </c>
      <c r="C513" t="s">
        <v>527</v>
      </c>
      <c r="D513" t="s">
        <v>1064</v>
      </c>
      <c r="E513">
        <v>62</v>
      </c>
      <c r="F513">
        <v>2874</v>
      </c>
      <c r="G513">
        <v>146.15</v>
      </c>
      <c r="H513">
        <v>1</v>
      </c>
      <c r="I513">
        <v>5</v>
      </c>
      <c r="J513">
        <v>1</v>
      </c>
      <c r="K513" cm="1">
        <f t="array" ref="K513">IF(COUNTA(_xlfn.UNIQUE(_xlfn._xlws.FILTER($C$2:$C$1001,$B$2:$B$1001=B513)))=1,1,0)</f>
        <v>0</v>
      </c>
    </row>
    <row r="514" spans="1:11" x14ac:dyDescent="0.2">
      <c r="A514" t="s">
        <v>542</v>
      </c>
      <c r="B514" t="s">
        <v>530</v>
      </c>
      <c r="C514" t="s">
        <v>274</v>
      </c>
      <c r="D514" t="s">
        <v>1065</v>
      </c>
      <c r="E514">
        <v>42</v>
      </c>
      <c r="F514">
        <v>8538</v>
      </c>
      <c r="G514">
        <v>111.96</v>
      </c>
      <c r="H514">
        <v>1</v>
      </c>
      <c r="I514">
        <v>5</v>
      </c>
      <c r="J514">
        <v>2</v>
      </c>
      <c r="K514" cm="1">
        <f t="array" ref="K514">IF(COUNTA(_xlfn.UNIQUE(_xlfn._xlws.FILTER($C$2:$C$1001,$B$2:$B$1001=B514)))=1,1,0)</f>
        <v>0</v>
      </c>
    </row>
    <row r="515" spans="1:11" x14ac:dyDescent="0.2">
      <c r="A515" t="s">
        <v>543</v>
      </c>
      <c r="B515" t="s">
        <v>530</v>
      </c>
      <c r="C515" t="s">
        <v>274</v>
      </c>
      <c r="D515" t="s">
        <v>1065</v>
      </c>
      <c r="E515">
        <v>62</v>
      </c>
      <c r="F515">
        <v>4176</v>
      </c>
      <c r="G515">
        <v>117.81</v>
      </c>
      <c r="H515">
        <v>2</v>
      </c>
      <c r="I515">
        <v>5</v>
      </c>
      <c r="J515">
        <v>2</v>
      </c>
      <c r="K515" cm="1">
        <f t="array" ref="K515">IF(COUNTA(_xlfn.UNIQUE(_xlfn._xlws.FILTER($C$2:$C$1001,$B$2:$B$1001=B515)))=1,1,0)</f>
        <v>0</v>
      </c>
    </row>
    <row r="516" spans="1:11" x14ac:dyDescent="0.2">
      <c r="A516" t="s">
        <v>544</v>
      </c>
      <c r="B516" t="s">
        <v>526</v>
      </c>
      <c r="C516" t="s">
        <v>274</v>
      </c>
      <c r="D516" t="s">
        <v>1063</v>
      </c>
      <c r="E516">
        <v>15</v>
      </c>
      <c r="F516">
        <v>3863</v>
      </c>
      <c r="G516">
        <v>58.9</v>
      </c>
      <c r="H516">
        <v>2</v>
      </c>
      <c r="I516">
        <v>5</v>
      </c>
      <c r="J516">
        <v>2</v>
      </c>
      <c r="K516" cm="1">
        <f t="array" ref="K516">IF(COUNTA(_xlfn.UNIQUE(_xlfn._xlws.FILTER($C$2:$C$1001,$B$2:$B$1001=B516)))=1,1,0)</f>
        <v>0</v>
      </c>
    </row>
    <row r="517" spans="1:11" x14ac:dyDescent="0.2">
      <c r="A517" t="s">
        <v>545</v>
      </c>
      <c r="B517" t="s">
        <v>526</v>
      </c>
      <c r="C517" t="s">
        <v>527</v>
      </c>
      <c r="D517" t="s">
        <v>1056</v>
      </c>
      <c r="E517">
        <v>73</v>
      </c>
      <c r="F517">
        <v>7615</v>
      </c>
      <c r="G517">
        <v>109.52</v>
      </c>
      <c r="H517">
        <v>3</v>
      </c>
      <c r="I517">
        <v>5</v>
      </c>
      <c r="J517">
        <v>1</v>
      </c>
      <c r="K517" cm="1">
        <f t="array" ref="K517">IF(COUNTA(_xlfn.UNIQUE(_xlfn._xlws.FILTER($C$2:$C$1001,$B$2:$B$1001=B517)))=1,1,0)</f>
        <v>0</v>
      </c>
    </row>
    <row r="518" spans="1:11" x14ac:dyDescent="0.2">
      <c r="A518" t="s">
        <v>546</v>
      </c>
      <c r="B518" t="s">
        <v>530</v>
      </c>
      <c r="C518" t="s">
        <v>274</v>
      </c>
      <c r="D518" t="s">
        <v>1065</v>
      </c>
      <c r="E518">
        <v>30</v>
      </c>
      <c r="F518">
        <v>2096</v>
      </c>
      <c r="G518">
        <v>56.01</v>
      </c>
      <c r="H518">
        <v>3</v>
      </c>
      <c r="I518">
        <v>5</v>
      </c>
      <c r="J518">
        <v>2</v>
      </c>
      <c r="K518" cm="1">
        <f t="array" ref="K518">IF(COUNTA(_xlfn.UNIQUE(_xlfn._xlws.FILTER($C$2:$C$1001,$B$2:$B$1001=B518)))=1,1,0)</f>
        <v>0</v>
      </c>
    </row>
    <row r="519" spans="1:11" x14ac:dyDescent="0.2">
      <c r="A519" t="s">
        <v>547</v>
      </c>
      <c r="B519" t="s">
        <v>534</v>
      </c>
      <c r="C519" t="s">
        <v>527</v>
      </c>
      <c r="D519" t="s">
        <v>1066</v>
      </c>
      <c r="E519">
        <v>40</v>
      </c>
      <c r="F519">
        <v>1270</v>
      </c>
      <c r="G519">
        <v>144.15</v>
      </c>
      <c r="H519">
        <v>1</v>
      </c>
      <c r="I519">
        <v>5</v>
      </c>
      <c r="J519">
        <v>1</v>
      </c>
      <c r="K519" cm="1">
        <f t="array" ref="K519">IF(COUNTA(_xlfn.UNIQUE(_xlfn._xlws.FILTER($C$2:$C$1001,$B$2:$B$1001=B519)))=1,1,0)</f>
        <v>0</v>
      </c>
    </row>
    <row r="520" spans="1:11" x14ac:dyDescent="0.2">
      <c r="A520" t="s">
        <v>548</v>
      </c>
      <c r="B520" t="s">
        <v>526</v>
      </c>
      <c r="C520" t="s">
        <v>527</v>
      </c>
      <c r="D520" t="s">
        <v>1056</v>
      </c>
      <c r="E520">
        <v>72</v>
      </c>
      <c r="F520">
        <v>8299</v>
      </c>
      <c r="G520">
        <v>139.56</v>
      </c>
      <c r="H520">
        <v>1</v>
      </c>
      <c r="I520">
        <v>4</v>
      </c>
      <c r="J520">
        <v>1</v>
      </c>
      <c r="K520" cm="1">
        <f t="array" ref="K520">IF(COUNTA(_xlfn.UNIQUE(_xlfn._xlws.FILTER($C$2:$C$1001,$B$2:$B$1001=B520)))=1,1,0)</f>
        <v>0</v>
      </c>
    </row>
    <row r="521" spans="1:11" x14ac:dyDescent="0.2">
      <c r="A521" t="s">
        <v>549</v>
      </c>
      <c r="B521" t="s">
        <v>530</v>
      </c>
      <c r="C521" t="s">
        <v>274</v>
      </c>
      <c r="D521" t="s">
        <v>1065</v>
      </c>
      <c r="E521">
        <v>44</v>
      </c>
      <c r="F521">
        <v>6552</v>
      </c>
      <c r="G521">
        <v>110.38</v>
      </c>
      <c r="H521">
        <v>1</v>
      </c>
      <c r="I521">
        <v>4</v>
      </c>
      <c r="J521">
        <v>2</v>
      </c>
      <c r="K521" cm="1">
        <f t="array" ref="K521">IF(COUNTA(_xlfn.UNIQUE(_xlfn._xlws.FILTER($C$2:$C$1001,$B$2:$B$1001=B521)))=1,1,0)</f>
        <v>0</v>
      </c>
    </row>
    <row r="522" spans="1:11" x14ac:dyDescent="0.2">
      <c r="A522" t="s">
        <v>550</v>
      </c>
      <c r="B522" t="s">
        <v>534</v>
      </c>
      <c r="C522" t="s">
        <v>527</v>
      </c>
      <c r="D522" t="s">
        <v>1066</v>
      </c>
      <c r="E522">
        <v>11</v>
      </c>
      <c r="F522">
        <v>6043</v>
      </c>
      <c r="G522">
        <v>79.989999999999995</v>
      </c>
      <c r="H522">
        <v>1</v>
      </c>
      <c r="I522">
        <v>5</v>
      </c>
      <c r="J522">
        <v>1</v>
      </c>
      <c r="K522" cm="1">
        <f t="array" ref="K522">IF(COUNTA(_xlfn.UNIQUE(_xlfn._xlws.FILTER($C$2:$C$1001,$B$2:$B$1001=B522)))=1,1,0)</f>
        <v>0</v>
      </c>
    </row>
    <row r="523" spans="1:11" x14ac:dyDescent="0.2">
      <c r="A523" t="s">
        <v>551</v>
      </c>
      <c r="B523" t="s">
        <v>530</v>
      </c>
      <c r="C523" t="s">
        <v>527</v>
      </c>
      <c r="D523" t="s">
        <v>1057</v>
      </c>
      <c r="E523">
        <v>29</v>
      </c>
      <c r="F523">
        <v>9662</v>
      </c>
      <c r="G523">
        <v>84.4</v>
      </c>
      <c r="H523">
        <v>2</v>
      </c>
      <c r="I523">
        <v>4</v>
      </c>
      <c r="J523">
        <v>2</v>
      </c>
      <c r="K523" cm="1">
        <f t="array" ref="K523">IF(COUNTA(_xlfn.UNIQUE(_xlfn._xlws.FILTER($C$2:$C$1001,$B$2:$B$1001=B523)))=1,1,0)</f>
        <v>0</v>
      </c>
    </row>
    <row r="524" spans="1:11" x14ac:dyDescent="0.2">
      <c r="A524" t="s">
        <v>552</v>
      </c>
      <c r="B524" t="s">
        <v>532</v>
      </c>
      <c r="C524" t="s">
        <v>18</v>
      </c>
      <c r="D524" t="s">
        <v>1058</v>
      </c>
      <c r="E524">
        <v>70</v>
      </c>
      <c r="F524">
        <v>5440</v>
      </c>
      <c r="G524">
        <v>89.95</v>
      </c>
      <c r="H524">
        <v>2</v>
      </c>
      <c r="I524">
        <v>4</v>
      </c>
      <c r="J524">
        <v>2</v>
      </c>
      <c r="K524" cm="1">
        <f t="array" ref="K524">IF(COUNTA(_xlfn.UNIQUE(_xlfn._xlws.FILTER($C$2:$C$1001,$B$2:$B$1001=B524)))=1,1,0)</f>
        <v>0</v>
      </c>
    </row>
    <row r="525" spans="1:11" x14ac:dyDescent="0.2">
      <c r="A525" t="s">
        <v>553</v>
      </c>
      <c r="B525" t="s">
        <v>534</v>
      </c>
      <c r="C525" t="s">
        <v>527</v>
      </c>
      <c r="D525" t="s">
        <v>1066</v>
      </c>
      <c r="E525">
        <v>8</v>
      </c>
      <c r="F525">
        <v>5538</v>
      </c>
      <c r="G525">
        <v>57.57</v>
      </c>
      <c r="H525">
        <v>1</v>
      </c>
      <c r="I525">
        <v>5</v>
      </c>
      <c r="J525">
        <v>1</v>
      </c>
      <c r="K525" cm="1">
        <f t="array" ref="K525">IF(COUNTA(_xlfn.UNIQUE(_xlfn._xlws.FILTER($C$2:$C$1001,$B$2:$B$1001=B525)))=1,1,0)</f>
        <v>0</v>
      </c>
    </row>
    <row r="526" spans="1:11" x14ac:dyDescent="0.2">
      <c r="A526" t="s">
        <v>554</v>
      </c>
      <c r="B526" t="s">
        <v>534</v>
      </c>
      <c r="C526" t="s">
        <v>18</v>
      </c>
      <c r="D526" t="s">
        <v>1062</v>
      </c>
      <c r="E526">
        <v>78</v>
      </c>
      <c r="F526">
        <v>6898</v>
      </c>
      <c r="G526">
        <v>111.69</v>
      </c>
      <c r="H526">
        <v>2</v>
      </c>
      <c r="I526">
        <v>4</v>
      </c>
      <c r="J526">
        <v>2</v>
      </c>
      <c r="K526" cm="1">
        <f t="array" ref="K526">IF(COUNTA(_xlfn.UNIQUE(_xlfn._xlws.FILTER($C$2:$C$1001,$B$2:$B$1001=B526)))=1,1,0)</f>
        <v>0</v>
      </c>
    </row>
    <row r="527" spans="1:11" x14ac:dyDescent="0.2">
      <c r="A527" t="s">
        <v>555</v>
      </c>
      <c r="B527" t="s">
        <v>526</v>
      </c>
      <c r="C527" t="s">
        <v>18</v>
      </c>
      <c r="D527" t="s">
        <v>1067</v>
      </c>
      <c r="E527">
        <v>62</v>
      </c>
      <c r="F527">
        <v>9923</v>
      </c>
      <c r="G527">
        <v>74.62</v>
      </c>
      <c r="H527">
        <v>3</v>
      </c>
      <c r="I527">
        <v>4</v>
      </c>
      <c r="J527">
        <v>2</v>
      </c>
      <c r="K527" cm="1">
        <f t="array" ref="K527">IF(COUNTA(_xlfn.UNIQUE(_xlfn._xlws.FILTER($C$2:$C$1001,$B$2:$B$1001=B527)))=1,1,0)</f>
        <v>0</v>
      </c>
    </row>
    <row r="528" spans="1:11" x14ac:dyDescent="0.2">
      <c r="A528" t="s">
        <v>556</v>
      </c>
      <c r="B528" t="s">
        <v>526</v>
      </c>
      <c r="C528" t="s">
        <v>274</v>
      </c>
      <c r="D528" t="s">
        <v>1063</v>
      </c>
      <c r="E528">
        <v>7</v>
      </c>
      <c r="F528">
        <v>8000</v>
      </c>
      <c r="G528">
        <v>61.57</v>
      </c>
      <c r="H528">
        <v>1</v>
      </c>
      <c r="I528">
        <v>5</v>
      </c>
      <c r="J528">
        <v>2</v>
      </c>
      <c r="K528" cm="1">
        <f t="array" ref="K528">IF(COUNTA(_xlfn.UNIQUE(_xlfn._xlws.FILTER($C$2:$C$1001,$B$2:$B$1001=B528)))=1,1,0)</f>
        <v>0</v>
      </c>
    </row>
    <row r="529" spans="1:11" x14ac:dyDescent="0.2">
      <c r="A529" t="s">
        <v>557</v>
      </c>
      <c r="B529" t="s">
        <v>534</v>
      </c>
      <c r="C529" t="s">
        <v>274</v>
      </c>
      <c r="D529" t="s">
        <v>1059</v>
      </c>
      <c r="E529">
        <v>86</v>
      </c>
      <c r="F529">
        <v>2449</v>
      </c>
      <c r="G529">
        <v>118.88</v>
      </c>
      <c r="H529">
        <v>1</v>
      </c>
      <c r="I529">
        <v>5</v>
      </c>
      <c r="J529">
        <v>1</v>
      </c>
      <c r="K529" cm="1">
        <f t="array" ref="K529">IF(COUNTA(_xlfn.UNIQUE(_xlfn._xlws.FILTER($C$2:$C$1001,$B$2:$B$1001=B529)))=1,1,0)</f>
        <v>0</v>
      </c>
    </row>
    <row r="530" spans="1:11" x14ac:dyDescent="0.2">
      <c r="A530" t="s">
        <v>558</v>
      </c>
      <c r="B530" t="s">
        <v>532</v>
      </c>
      <c r="C530" t="s">
        <v>274</v>
      </c>
      <c r="D530" t="s">
        <v>1060</v>
      </c>
      <c r="E530">
        <v>41</v>
      </c>
      <c r="F530">
        <v>9848</v>
      </c>
      <c r="G530">
        <v>55.18</v>
      </c>
      <c r="H530">
        <v>1</v>
      </c>
      <c r="I530">
        <v>4</v>
      </c>
      <c r="J530">
        <v>2</v>
      </c>
      <c r="K530" cm="1">
        <f t="array" ref="K530">IF(COUNTA(_xlfn.UNIQUE(_xlfn._xlws.FILTER($C$2:$C$1001,$B$2:$B$1001=B530)))=1,1,0)</f>
        <v>0</v>
      </c>
    </row>
    <row r="531" spans="1:11" x14ac:dyDescent="0.2">
      <c r="A531" t="s">
        <v>559</v>
      </c>
      <c r="B531" t="s">
        <v>530</v>
      </c>
      <c r="C531" t="s">
        <v>18</v>
      </c>
      <c r="D531" t="s">
        <v>1061</v>
      </c>
      <c r="E531">
        <v>66</v>
      </c>
      <c r="F531">
        <v>4580</v>
      </c>
      <c r="G531">
        <v>63.96</v>
      </c>
      <c r="H531">
        <v>1</v>
      </c>
      <c r="I531">
        <v>5</v>
      </c>
      <c r="J531">
        <v>1</v>
      </c>
      <c r="K531" cm="1">
        <f t="array" ref="K531">IF(COUNTA(_xlfn.UNIQUE(_xlfn._xlws.FILTER($C$2:$C$1001,$B$2:$B$1001=B531)))=1,1,0)</f>
        <v>0</v>
      </c>
    </row>
    <row r="532" spans="1:11" x14ac:dyDescent="0.2">
      <c r="A532" t="s">
        <v>560</v>
      </c>
      <c r="B532" t="s">
        <v>530</v>
      </c>
      <c r="C532" t="s">
        <v>18</v>
      </c>
      <c r="D532" t="s">
        <v>1061</v>
      </c>
      <c r="E532">
        <v>26</v>
      </c>
      <c r="F532">
        <v>1406</v>
      </c>
      <c r="G532">
        <v>57.66</v>
      </c>
      <c r="H532">
        <v>1</v>
      </c>
      <c r="I532">
        <v>5</v>
      </c>
      <c r="J532">
        <v>1</v>
      </c>
      <c r="K532" cm="1">
        <f t="array" ref="K532">IF(COUNTA(_xlfn.UNIQUE(_xlfn._xlws.FILTER($C$2:$C$1001,$B$2:$B$1001=B532)))=1,1,0)</f>
        <v>0</v>
      </c>
    </row>
    <row r="533" spans="1:11" x14ac:dyDescent="0.2">
      <c r="A533" t="s">
        <v>561</v>
      </c>
      <c r="B533" t="s">
        <v>530</v>
      </c>
      <c r="C533" t="s">
        <v>274</v>
      </c>
      <c r="D533" t="s">
        <v>1065</v>
      </c>
      <c r="E533">
        <v>13</v>
      </c>
      <c r="F533">
        <v>7289</v>
      </c>
      <c r="G533">
        <v>115.64</v>
      </c>
      <c r="H533">
        <v>2</v>
      </c>
      <c r="I533">
        <v>3</v>
      </c>
      <c r="J533">
        <v>2</v>
      </c>
      <c r="K533" cm="1">
        <f t="array" ref="K533">IF(COUNTA(_xlfn.UNIQUE(_xlfn._xlws.FILTER($C$2:$C$1001,$B$2:$B$1001=B533)))=1,1,0)</f>
        <v>0</v>
      </c>
    </row>
    <row r="534" spans="1:11" x14ac:dyDescent="0.2">
      <c r="A534" t="s">
        <v>562</v>
      </c>
      <c r="B534" t="s">
        <v>532</v>
      </c>
      <c r="C534" t="s">
        <v>18</v>
      </c>
      <c r="D534" t="s">
        <v>1058</v>
      </c>
      <c r="E534">
        <v>25</v>
      </c>
      <c r="F534">
        <v>5670</v>
      </c>
      <c r="G534">
        <v>101.23</v>
      </c>
      <c r="H534">
        <v>1</v>
      </c>
      <c r="I534">
        <v>5</v>
      </c>
      <c r="J534">
        <v>1</v>
      </c>
      <c r="K534" cm="1">
        <f t="array" ref="K534">IF(COUNTA(_xlfn.UNIQUE(_xlfn._xlws.FILTER($C$2:$C$1001,$B$2:$B$1001=B534)))=1,1,0)</f>
        <v>0</v>
      </c>
    </row>
    <row r="535" spans="1:11" x14ac:dyDescent="0.2">
      <c r="A535" t="s">
        <v>563</v>
      </c>
      <c r="B535" t="s">
        <v>532</v>
      </c>
      <c r="C535" t="s">
        <v>527</v>
      </c>
      <c r="D535" t="s">
        <v>1064</v>
      </c>
      <c r="E535">
        <v>56</v>
      </c>
      <c r="F535">
        <v>2895</v>
      </c>
      <c r="G535">
        <v>90.32</v>
      </c>
      <c r="H535">
        <v>3</v>
      </c>
      <c r="I535">
        <v>5</v>
      </c>
      <c r="J535">
        <v>2</v>
      </c>
      <c r="K535" cm="1">
        <f t="array" ref="K535">IF(COUNTA(_xlfn.UNIQUE(_xlfn._xlws.FILTER($C$2:$C$1001,$B$2:$B$1001=B535)))=1,1,0)</f>
        <v>0</v>
      </c>
    </row>
    <row r="536" spans="1:11" x14ac:dyDescent="0.2">
      <c r="A536" t="s">
        <v>564</v>
      </c>
      <c r="B536" t="s">
        <v>534</v>
      </c>
      <c r="C536" t="s">
        <v>274</v>
      </c>
      <c r="D536" t="s">
        <v>1059</v>
      </c>
      <c r="E536">
        <v>10</v>
      </c>
      <c r="F536">
        <v>2956</v>
      </c>
      <c r="G536">
        <v>125</v>
      </c>
      <c r="H536">
        <v>2</v>
      </c>
      <c r="I536">
        <v>5</v>
      </c>
      <c r="J536">
        <v>2</v>
      </c>
      <c r="K536" cm="1">
        <f t="array" ref="K536">IF(COUNTA(_xlfn.UNIQUE(_xlfn._xlws.FILTER($C$2:$C$1001,$B$2:$B$1001=B536)))=1,1,0)</f>
        <v>0</v>
      </c>
    </row>
    <row r="537" spans="1:11" x14ac:dyDescent="0.2">
      <c r="A537" t="s">
        <v>565</v>
      </c>
      <c r="B537" t="s">
        <v>534</v>
      </c>
      <c r="C537" t="s">
        <v>18</v>
      </c>
      <c r="D537" t="s">
        <v>1062</v>
      </c>
      <c r="E537">
        <v>79</v>
      </c>
      <c r="F537">
        <v>6313</v>
      </c>
      <c r="G537">
        <v>101.83</v>
      </c>
      <c r="H537">
        <v>3</v>
      </c>
      <c r="I537">
        <v>5</v>
      </c>
      <c r="J537">
        <v>1</v>
      </c>
      <c r="K537" cm="1">
        <f t="array" ref="K537">IF(COUNTA(_xlfn.UNIQUE(_xlfn._xlws.FILTER($C$2:$C$1001,$B$2:$B$1001=B537)))=1,1,0)</f>
        <v>0</v>
      </c>
    </row>
    <row r="538" spans="1:11" x14ac:dyDescent="0.2">
      <c r="A538" t="s">
        <v>566</v>
      </c>
      <c r="B538" t="s">
        <v>526</v>
      </c>
      <c r="C538" t="s">
        <v>274</v>
      </c>
      <c r="D538" t="s">
        <v>1063</v>
      </c>
      <c r="E538">
        <v>86</v>
      </c>
      <c r="F538">
        <v>4575</v>
      </c>
      <c r="G538">
        <v>138.62</v>
      </c>
      <c r="H538">
        <v>1</v>
      </c>
      <c r="I538">
        <v>4</v>
      </c>
      <c r="J538">
        <v>2</v>
      </c>
      <c r="K538" cm="1">
        <f t="array" ref="K538">IF(COUNTA(_xlfn.UNIQUE(_xlfn._xlws.FILTER($C$2:$C$1001,$B$2:$B$1001=B538)))=1,1,0)</f>
        <v>0</v>
      </c>
    </row>
    <row r="539" spans="1:11" x14ac:dyDescent="0.2">
      <c r="A539" t="s">
        <v>567</v>
      </c>
      <c r="B539" t="s">
        <v>526</v>
      </c>
      <c r="C539" t="s">
        <v>274</v>
      </c>
      <c r="D539" t="s">
        <v>1063</v>
      </c>
      <c r="E539">
        <v>51</v>
      </c>
      <c r="F539">
        <v>6316</v>
      </c>
      <c r="G539">
        <v>81.48</v>
      </c>
      <c r="H539">
        <v>3</v>
      </c>
      <c r="I539">
        <v>5</v>
      </c>
      <c r="J539">
        <v>1</v>
      </c>
      <c r="K539" cm="1">
        <f t="array" ref="K539">IF(COUNTA(_xlfn.UNIQUE(_xlfn._xlws.FILTER($C$2:$C$1001,$B$2:$B$1001=B539)))=1,1,0)</f>
        <v>0</v>
      </c>
    </row>
    <row r="540" spans="1:11" x14ac:dyDescent="0.2">
      <c r="A540" t="s">
        <v>568</v>
      </c>
      <c r="B540" t="s">
        <v>526</v>
      </c>
      <c r="C540" t="s">
        <v>527</v>
      </c>
      <c r="D540" t="s">
        <v>1056</v>
      </c>
      <c r="E540">
        <v>38</v>
      </c>
      <c r="F540">
        <v>2657</v>
      </c>
      <c r="G540">
        <v>104.03</v>
      </c>
      <c r="H540">
        <v>2</v>
      </c>
      <c r="I540">
        <v>5</v>
      </c>
      <c r="J540">
        <v>1</v>
      </c>
      <c r="K540" cm="1">
        <f t="array" ref="K540">IF(COUNTA(_xlfn.UNIQUE(_xlfn._xlws.FILTER($C$2:$C$1001,$B$2:$B$1001=B540)))=1,1,0)</f>
        <v>0</v>
      </c>
    </row>
    <row r="541" spans="1:11" x14ac:dyDescent="0.2">
      <c r="A541" t="s">
        <v>569</v>
      </c>
      <c r="B541" t="s">
        <v>530</v>
      </c>
      <c r="C541" t="s">
        <v>274</v>
      </c>
      <c r="D541" t="s">
        <v>1065</v>
      </c>
      <c r="E541">
        <v>73</v>
      </c>
      <c r="F541">
        <v>1607</v>
      </c>
      <c r="G541">
        <v>98.4</v>
      </c>
      <c r="H541">
        <v>3</v>
      </c>
      <c r="I541">
        <v>5</v>
      </c>
      <c r="J541">
        <v>1</v>
      </c>
      <c r="K541" cm="1">
        <f t="array" ref="K541">IF(COUNTA(_xlfn.UNIQUE(_xlfn._xlws.FILTER($C$2:$C$1001,$B$2:$B$1001=B541)))=1,1,0)</f>
        <v>0</v>
      </c>
    </row>
    <row r="542" spans="1:11" x14ac:dyDescent="0.2">
      <c r="A542" t="s">
        <v>570</v>
      </c>
      <c r="B542" t="s">
        <v>530</v>
      </c>
      <c r="C542" t="s">
        <v>18</v>
      </c>
      <c r="D542" t="s">
        <v>1061</v>
      </c>
      <c r="E542">
        <v>76</v>
      </c>
      <c r="F542">
        <v>6054</v>
      </c>
      <c r="G542">
        <v>147.84</v>
      </c>
      <c r="H542">
        <v>1</v>
      </c>
      <c r="I542">
        <v>4</v>
      </c>
      <c r="J542">
        <v>2</v>
      </c>
      <c r="K542" cm="1">
        <f t="array" ref="K542">IF(COUNTA(_xlfn.UNIQUE(_xlfn._xlws.FILTER($C$2:$C$1001,$B$2:$B$1001=B542)))=1,1,0)</f>
        <v>0</v>
      </c>
    </row>
    <row r="543" spans="1:11" x14ac:dyDescent="0.2">
      <c r="A543" t="s">
        <v>571</v>
      </c>
      <c r="B543" t="s">
        <v>526</v>
      </c>
      <c r="C543" t="s">
        <v>274</v>
      </c>
      <c r="D543" t="s">
        <v>1063</v>
      </c>
      <c r="E543">
        <v>66</v>
      </c>
      <c r="F543">
        <v>3806</v>
      </c>
      <c r="G543">
        <v>90.02</v>
      </c>
      <c r="H543">
        <v>3</v>
      </c>
      <c r="I543">
        <v>3</v>
      </c>
      <c r="J543">
        <v>1</v>
      </c>
      <c r="K543" cm="1">
        <f t="array" ref="K543">IF(COUNTA(_xlfn.UNIQUE(_xlfn._xlws.FILTER($C$2:$C$1001,$B$2:$B$1001=B543)))=1,1,0)</f>
        <v>0</v>
      </c>
    </row>
    <row r="544" spans="1:11" x14ac:dyDescent="0.2">
      <c r="A544" t="s">
        <v>572</v>
      </c>
      <c r="B544" t="s">
        <v>532</v>
      </c>
      <c r="C544" t="s">
        <v>18</v>
      </c>
      <c r="D544" t="s">
        <v>1058</v>
      </c>
      <c r="E544">
        <v>36</v>
      </c>
      <c r="F544">
        <v>2814</v>
      </c>
      <c r="G544">
        <v>118.8</v>
      </c>
      <c r="H544">
        <v>1</v>
      </c>
      <c r="I544">
        <v>5</v>
      </c>
      <c r="J544">
        <v>2</v>
      </c>
      <c r="K544" cm="1">
        <f t="array" ref="K544">IF(COUNTA(_xlfn.UNIQUE(_xlfn._xlws.FILTER($C$2:$C$1001,$B$2:$B$1001=B544)))=1,1,0)</f>
        <v>0</v>
      </c>
    </row>
    <row r="545" spans="1:11" x14ac:dyDescent="0.2">
      <c r="A545" t="s">
        <v>573</v>
      </c>
      <c r="B545" t="s">
        <v>534</v>
      </c>
      <c r="C545" t="s">
        <v>274</v>
      </c>
      <c r="D545" t="s">
        <v>1059</v>
      </c>
      <c r="E545">
        <v>64</v>
      </c>
      <c r="F545">
        <v>3415</v>
      </c>
      <c r="G545">
        <v>67.09</v>
      </c>
      <c r="H545">
        <v>2</v>
      </c>
      <c r="I545">
        <v>4</v>
      </c>
      <c r="J545">
        <v>1</v>
      </c>
      <c r="K545" cm="1">
        <f t="array" ref="K545">IF(COUNTA(_xlfn.UNIQUE(_xlfn._xlws.FILTER($C$2:$C$1001,$B$2:$B$1001=B545)))=1,1,0)</f>
        <v>0</v>
      </c>
    </row>
    <row r="546" spans="1:11" x14ac:dyDescent="0.2">
      <c r="A546" t="s">
        <v>574</v>
      </c>
      <c r="B546" t="s">
        <v>530</v>
      </c>
      <c r="C546" t="s">
        <v>18</v>
      </c>
      <c r="D546" t="s">
        <v>1061</v>
      </c>
      <c r="E546">
        <v>27</v>
      </c>
      <c r="F546">
        <v>9307</v>
      </c>
      <c r="G546">
        <v>51.66</v>
      </c>
      <c r="H546">
        <v>2</v>
      </c>
      <c r="I546">
        <v>5</v>
      </c>
      <c r="J546">
        <v>2</v>
      </c>
      <c r="K546" cm="1">
        <f t="array" ref="K546">IF(COUNTA(_xlfn.UNIQUE(_xlfn._xlws.FILTER($C$2:$C$1001,$B$2:$B$1001=B546)))=1,1,0)</f>
        <v>0</v>
      </c>
    </row>
    <row r="547" spans="1:11" x14ac:dyDescent="0.2">
      <c r="A547" t="s">
        <v>575</v>
      </c>
      <c r="B547" t="s">
        <v>530</v>
      </c>
      <c r="C547" t="s">
        <v>527</v>
      </c>
      <c r="D547" t="s">
        <v>1057</v>
      </c>
      <c r="E547">
        <v>60</v>
      </c>
      <c r="F547">
        <v>3941</v>
      </c>
      <c r="G547">
        <v>63.55</v>
      </c>
      <c r="H547">
        <v>1</v>
      </c>
      <c r="I547">
        <v>4</v>
      </c>
      <c r="J547">
        <v>2</v>
      </c>
      <c r="K547" cm="1">
        <f t="array" ref="K547">IF(COUNTA(_xlfn.UNIQUE(_xlfn._xlws.FILTER($C$2:$C$1001,$B$2:$B$1001=B547)))=1,1,0)</f>
        <v>0</v>
      </c>
    </row>
    <row r="548" spans="1:11" x14ac:dyDescent="0.2">
      <c r="A548" t="s">
        <v>576</v>
      </c>
      <c r="B548" t="s">
        <v>526</v>
      </c>
      <c r="C548" t="s">
        <v>274</v>
      </c>
      <c r="D548" t="s">
        <v>1063</v>
      </c>
      <c r="E548">
        <v>53</v>
      </c>
      <c r="F548">
        <v>2553</v>
      </c>
      <c r="G548">
        <v>107.39</v>
      </c>
      <c r="H548">
        <v>1</v>
      </c>
      <c r="I548">
        <v>4</v>
      </c>
      <c r="J548">
        <v>1</v>
      </c>
      <c r="K548" cm="1">
        <f t="array" ref="K548">IF(COUNTA(_xlfn.UNIQUE(_xlfn._xlws.FILTER($C$2:$C$1001,$B$2:$B$1001=B548)))=1,1,0)</f>
        <v>0</v>
      </c>
    </row>
    <row r="549" spans="1:11" x14ac:dyDescent="0.2">
      <c r="A549" t="s">
        <v>577</v>
      </c>
      <c r="B549" t="s">
        <v>526</v>
      </c>
      <c r="C549" t="s">
        <v>18</v>
      </c>
      <c r="D549" t="s">
        <v>1067</v>
      </c>
      <c r="E549">
        <v>78</v>
      </c>
      <c r="F549">
        <v>6877</v>
      </c>
      <c r="G549">
        <v>108.84</v>
      </c>
      <c r="H549">
        <v>3</v>
      </c>
      <c r="I549">
        <v>5</v>
      </c>
      <c r="J549">
        <v>2</v>
      </c>
      <c r="K549" cm="1">
        <f t="array" ref="K549">IF(COUNTA(_xlfn.UNIQUE(_xlfn._xlws.FILTER($C$2:$C$1001,$B$2:$B$1001=B549)))=1,1,0)</f>
        <v>0</v>
      </c>
    </row>
    <row r="550" spans="1:11" x14ac:dyDescent="0.2">
      <c r="A550" t="s">
        <v>578</v>
      </c>
      <c r="B550" t="s">
        <v>526</v>
      </c>
      <c r="C550" t="s">
        <v>527</v>
      </c>
      <c r="D550" t="s">
        <v>1056</v>
      </c>
      <c r="E550">
        <v>23</v>
      </c>
      <c r="F550">
        <v>5670</v>
      </c>
      <c r="G550">
        <v>101.32</v>
      </c>
      <c r="H550">
        <v>1</v>
      </c>
      <c r="I550">
        <v>5</v>
      </c>
      <c r="J550">
        <v>2</v>
      </c>
      <c r="K550" cm="1">
        <f t="array" ref="K550">IF(COUNTA(_xlfn.UNIQUE(_xlfn._xlws.FILTER($C$2:$C$1001,$B$2:$B$1001=B550)))=1,1,0)</f>
        <v>0</v>
      </c>
    </row>
    <row r="551" spans="1:11" x14ac:dyDescent="0.2">
      <c r="A551" t="s">
        <v>579</v>
      </c>
      <c r="B551" t="s">
        <v>526</v>
      </c>
      <c r="C551" t="s">
        <v>274</v>
      </c>
      <c r="D551" t="s">
        <v>1063</v>
      </c>
      <c r="E551">
        <v>82</v>
      </c>
      <c r="F551">
        <v>9711</v>
      </c>
      <c r="G551">
        <v>72.61</v>
      </c>
      <c r="H551">
        <v>1</v>
      </c>
      <c r="I551">
        <v>5</v>
      </c>
      <c r="J551">
        <v>1</v>
      </c>
      <c r="K551" cm="1">
        <f t="array" ref="K551">IF(COUNTA(_xlfn.UNIQUE(_xlfn._xlws.FILTER($C$2:$C$1001,$B$2:$B$1001=B551)))=1,1,0)</f>
        <v>0</v>
      </c>
    </row>
    <row r="552" spans="1:11" x14ac:dyDescent="0.2">
      <c r="A552" t="s">
        <v>580</v>
      </c>
      <c r="B552" t="s">
        <v>534</v>
      </c>
      <c r="C552" t="s">
        <v>527</v>
      </c>
      <c r="D552" t="s">
        <v>1066</v>
      </c>
      <c r="E552">
        <v>73</v>
      </c>
      <c r="F552">
        <v>1969</v>
      </c>
      <c r="G552">
        <v>71.11</v>
      </c>
      <c r="H552">
        <v>1</v>
      </c>
      <c r="I552">
        <v>3</v>
      </c>
      <c r="J552">
        <v>1</v>
      </c>
      <c r="K552" cm="1">
        <f t="array" ref="K552">IF(COUNTA(_xlfn.UNIQUE(_xlfn._xlws.FILTER($C$2:$C$1001,$B$2:$B$1001=B552)))=1,1,0)</f>
        <v>0</v>
      </c>
    </row>
    <row r="553" spans="1:11" x14ac:dyDescent="0.2">
      <c r="A553" t="s">
        <v>581</v>
      </c>
      <c r="B553" t="s">
        <v>526</v>
      </c>
      <c r="C553" t="s">
        <v>527</v>
      </c>
      <c r="D553" t="s">
        <v>1056</v>
      </c>
      <c r="E553">
        <v>35</v>
      </c>
      <c r="F553">
        <v>8954</v>
      </c>
      <c r="G553">
        <v>102.99</v>
      </c>
      <c r="H553">
        <v>3</v>
      </c>
      <c r="I553">
        <v>5</v>
      </c>
      <c r="J553">
        <v>1</v>
      </c>
      <c r="K553" cm="1">
        <f t="array" ref="K553">IF(COUNTA(_xlfn.UNIQUE(_xlfn._xlws.FILTER($C$2:$C$1001,$B$2:$B$1001=B553)))=1,1,0)</f>
        <v>0</v>
      </c>
    </row>
    <row r="554" spans="1:11" x14ac:dyDescent="0.2">
      <c r="A554" t="s">
        <v>582</v>
      </c>
      <c r="B554" t="s">
        <v>532</v>
      </c>
      <c r="C554" t="s">
        <v>274</v>
      </c>
      <c r="D554" t="s">
        <v>1060</v>
      </c>
      <c r="E554">
        <v>36</v>
      </c>
      <c r="F554">
        <v>4969</v>
      </c>
      <c r="G554">
        <v>84.66</v>
      </c>
      <c r="H554">
        <v>1</v>
      </c>
      <c r="I554">
        <v>5</v>
      </c>
      <c r="J554">
        <v>2</v>
      </c>
      <c r="K554" cm="1">
        <f t="array" ref="K554">IF(COUNTA(_xlfn.UNIQUE(_xlfn._xlws.FILTER($C$2:$C$1001,$B$2:$B$1001=B554)))=1,1,0)</f>
        <v>0</v>
      </c>
    </row>
    <row r="555" spans="1:11" x14ac:dyDescent="0.2">
      <c r="A555" t="s">
        <v>583</v>
      </c>
      <c r="B555" t="s">
        <v>534</v>
      </c>
      <c r="C555" t="s">
        <v>18</v>
      </c>
      <c r="D555" t="s">
        <v>1062</v>
      </c>
      <c r="E555">
        <v>25</v>
      </c>
      <c r="F555">
        <v>2909</v>
      </c>
      <c r="G555">
        <v>130.29</v>
      </c>
      <c r="H555">
        <v>1</v>
      </c>
      <c r="I555">
        <v>5</v>
      </c>
      <c r="J555">
        <v>1</v>
      </c>
      <c r="K555" cm="1">
        <f t="array" ref="K555">IF(COUNTA(_xlfn.UNIQUE(_xlfn._xlws.FILTER($C$2:$C$1001,$B$2:$B$1001=B555)))=1,1,0)</f>
        <v>0</v>
      </c>
    </row>
    <row r="556" spans="1:11" x14ac:dyDescent="0.2">
      <c r="A556" t="s">
        <v>584</v>
      </c>
      <c r="B556" t="s">
        <v>530</v>
      </c>
      <c r="C556" t="s">
        <v>274</v>
      </c>
      <c r="D556" t="s">
        <v>1065</v>
      </c>
      <c r="E556">
        <v>26</v>
      </c>
      <c r="F556">
        <v>9339</v>
      </c>
      <c r="G556">
        <v>117.24</v>
      </c>
      <c r="H556">
        <v>2</v>
      </c>
      <c r="I556">
        <v>4</v>
      </c>
      <c r="J556">
        <v>1</v>
      </c>
      <c r="K556" cm="1">
        <f t="array" ref="K556">IF(COUNTA(_xlfn.UNIQUE(_xlfn._xlws.FILTER($C$2:$C$1001,$B$2:$B$1001=B556)))=1,1,0)</f>
        <v>0</v>
      </c>
    </row>
    <row r="557" spans="1:11" x14ac:dyDescent="0.2">
      <c r="A557" t="s">
        <v>585</v>
      </c>
      <c r="B557" t="s">
        <v>526</v>
      </c>
      <c r="C557" t="s">
        <v>527</v>
      </c>
      <c r="D557" t="s">
        <v>1056</v>
      </c>
      <c r="E557">
        <v>13</v>
      </c>
      <c r="F557">
        <v>2859</v>
      </c>
      <c r="G557">
        <v>86.05</v>
      </c>
      <c r="H557">
        <v>2</v>
      </c>
      <c r="I557">
        <v>3</v>
      </c>
      <c r="J557">
        <v>1</v>
      </c>
      <c r="K557" cm="1">
        <f t="array" ref="K557">IF(COUNTA(_xlfn.UNIQUE(_xlfn._xlws.FILTER($C$2:$C$1001,$B$2:$B$1001=B557)))=1,1,0)</f>
        <v>0</v>
      </c>
    </row>
    <row r="558" spans="1:11" x14ac:dyDescent="0.2">
      <c r="A558" t="s">
        <v>586</v>
      </c>
      <c r="B558" t="s">
        <v>532</v>
      </c>
      <c r="C558" t="s">
        <v>527</v>
      </c>
      <c r="D558" t="s">
        <v>1064</v>
      </c>
      <c r="E558">
        <v>16</v>
      </c>
      <c r="F558">
        <v>6308</v>
      </c>
      <c r="G558">
        <v>129.38</v>
      </c>
      <c r="H558">
        <v>1</v>
      </c>
      <c r="I558">
        <v>5</v>
      </c>
      <c r="J558">
        <v>1</v>
      </c>
      <c r="K558" cm="1">
        <f t="array" ref="K558">IF(COUNTA(_xlfn.UNIQUE(_xlfn._xlws.FILTER($C$2:$C$1001,$B$2:$B$1001=B558)))=1,1,0)</f>
        <v>0</v>
      </c>
    </row>
    <row r="559" spans="1:11" x14ac:dyDescent="0.2">
      <c r="A559" t="s">
        <v>587</v>
      </c>
      <c r="B559" t="s">
        <v>530</v>
      </c>
      <c r="C559" t="s">
        <v>18</v>
      </c>
      <c r="D559" t="s">
        <v>1061</v>
      </c>
      <c r="E559">
        <v>7</v>
      </c>
      <c r="F559">
        <v>6983</v>
      </c>
      <c r="G559">
        <v>116.54</v>
      </c>
      <c r="H559">
        <v>1</v>
      </c>
      <c r="I559">
        <v>5</v>
      </c>
      <c r="J559">
        <v>2</v>
      </c>
      <c r="K559" cm="1">
        <f t="array" ref="K559">IF(COUNTA(_xlfn.UNIQUE(_xlfn._xlws.FILTER($C$2:$C$1001,$B$2:$B$1001=B559)))=1,1,0)</f>
        <v>0</v>
      </c>
    </row>
    <row r="560" spans="1:11" x14ac:dyDescent="0.2">
      <c r="A560" t="s">
        <v>588</v>
      </c>
      <c r="B560" t="s">
        <v>526</v>
      </c>
      <c r="C560" t="s">
        <v>527</v>
      </c>
      <c r="D560" t="s">
        <v>1056</v>
      </c>
      <c r="E560">
        <v>53</v>
      </c>
      <c r="F560">
        <v>9497</v>
      </c>
      <c r="G560">
        <v>127.95</v>
      </c>
      <c r="H560">
        <v>2</v>
      </c>
      <c r="I560">
        <v>3</v>
      </c>
      <c r="J560">
        <v>2</v>
      </c>
      <c r="K560" cm="1">
        <f t="array" ref="K560">IF(COUNTA(_xlfn.UNIQUE(_xlfn._xlws.FILTER($C$2:$C$1001,$B$2:$B$1001=B560)))=1,1,0)</f>
        <v>0</v>
      </c>
    </row>
    <row r="561" spans="1:11" x14ac:dyDescent="0.2">
      <c r="A561" t="s">
        <v>589</v>
      </c>
      <c r="B561" t="s">
        <v>532</v>
      </c>
      <c r="C561" t="s">
        <v>18</v>
      </c>
      <c r="D561" t="s">
        <v>1058</v>
      </c>
      <c r="E561">
        <v>73</v>
      </c>
      <c r="F561">
        <v>7553</v>
      </c>
      <c r="G561">
        <v>129.15</v>
      </c>
      <c r="H561">
        <v>2</v>
      </c>
      <c r="I561">
        <v>4</v>
      </c>
      <c r="J561">
        <v>1</v>
      </c>
      <c r="K561" cm="1">
        <f t="array" ref="K561">IF(COUNTA(_xlfn.UNIQUE(_xlfn._xlws.FILTER($C$2:$C$1001,$B$2:$B$1001=B561)))=1,1,0)</f>
        <v>0</v>
      </c>
    </row>
    <row r="562" spans="1:11" x14ac:dyDescent="0.2">
      <c r="A562" t="s">
        <v>590</v>
      </c>
      <c r="B562" t="s">
        <v>532</v>
      </c>
      <c r="C562" t="s">
        <v>274</v>
      </c>
      <c r="D562" t="s">
        <v>1060</v>
      </c>
      <c r="E562">
        <v>44</v>
      </c>
      <c r="F562">
        <v>3229</v>
      </c>
      <c r="G562">
        <v>138.96</v>
      </c>
      <c r="H562">
        <v>1</v>
      </c>
      <c r="I562">
        <v>5</v>
      </c>
      <c r="J562">
        <v>2</v>
      </c>
      <c r="K562" cm="1">
        <f t="array" ref="K562">IF(COUNTA(_xlfn.UNIQUE(_xlfn._xlws.FILTER($C$2:$C$1001,$B$2:$B$1001=B562)))=1,1,0)</f>
        <v>0</v>
      </c>
    </row>
    <row r="563" spans="1:11" x14ac:dyDescent="0.2">
      <c r="A563" t="s">
        <v>591</v>
      </c>
      <c r="B563" t="s">
        <v>532</v>
      </c>
      <c r="C563" t="s">
        <v>527</v>
      </c>
      <c r="D563" t="s">
        <v>1064</v>
      </c>
      <c r="E563">
        <v>48</v>
      </c>
      <c r="F563">
        <v>9635</v>
      </c>
      <c r="G563">
        <v>72.63</v>
      </c>
      <c r="H563">
        <v>1</v>
      </c>
      <c r="I563">
        <v>5</v>
      </c>
      <c r="J563">
        <v>2</v>
      </c>
      <c r="K563" cm="1">
        <f t="array" ref="K563">IF(COUNTA(_xlfn.UNIQUE(_xlfn._xlws.FILTER($C$2:$C$1001,$B$2:$B$1001=B563)))=1,1,0)</f>
        <v>0</v>
      </c>
    </row>
    <row r="564" spans="1:11" x14ac:dyDescent="0.2">
      <c r="A564" t="s">
        <v>592</v>
      </c>
      <c r="B564" t="s">
        <v>526</v>
      </c>
      <c r="C564" t="s">
        <v>18</v>
      </c>
      <c r="D564" t="s">
        <v>1067</v>
      </c>
      <c r="E564">
        <v>86</v>
      </c>
      <c r="F564">
        <v>8701</v>
      </c>
      <c r="G564">
        <v>63.1</v>
      </c>
      <c r="H564">
        <v>2</v>
      </c>
      <c r="I564">
        <v>4</v>
      </c>
      <c r="J564">
        <v>1</v>
      </c>
      <c r="K564" cm="1">
        <f t="array" ref="K564">IF(COUNTA(_xlfn.UNIQUE(_xlfn._xlws.FILTER($C$2:$C$1001,$B$2:$B$1001=B564)))=1,1,0)</f>
        <v>0</v>
      </c>
    </row>
    <row r="565" spans="1:11" x14ac:dyDescent="0.2">
      <c r="A565" t="s">
        <v>593</v>
      </c>
      <c r="B565" t="s">
        <v>530</v>
      </c>
      <c r="C565" t="s">
        <v>274</v>
      </c>
      <c r="D565" t="s">
        <v>1065</v>
      </c>
      <c r="E565">
        <v>54</v>
      </c>
      <c r="F565">
        <v>7155</v>
      </c>
      <c r="G565">
        <v>109.41</v>
      </c>
      <c r="H565">
        <v>1</v>
      </c>
      <c r="I565">
        <v>5</v>
      </c>
      <c r="J565">
        <v>2</v>
      </c>
      <c r="K565" cm="1">
        <f t="array" ref="K565">IF(COUNTA(_xlfn.UNIQUE(_xlfn._xlws.FILTER($C$2:$C$1001,$B$2:$B$1001=B565)))=1,1,0)</f>
        <v>0</v>
      </c>
    </row>
    <row r="566" spans="1:11" x14ac:dyDescent="0.2">
      <c r="A566" t="s">
        <v>594</v>
      </c>
      <c r="B566" t="s">
        <v>532</v>
      </c>
      <c r="C566" t="s">
        <v>274</v>
      </c>
      <c r="D566" t="s">
        <v>1060</v>
      </c>
      <c r="E566">
        <v>18</v>
      </c>
      <c r="F566">
        <v>2409</v>
      </c>
      <c r="G566">
        <v>127.75</v>
      </c>
      <c r="H566">
        <v>1</v>
      </c>
      <c r="I566">
        <v>5</v>
      </c>
      <c r="J566">
        <v>1</v>
      </c>
      <c r="K566" cm="1">
        <f t="array" ref="K566">IF(COUNTA(_xlfn.UNIQUE(_xlfn._xlws.FILTER($C$2:$C$1001,$B$2:$B$1001=B566)))=1,1,0)</f>
        <v>0</v>
      </c>
    </row>
    <row r="567" spans="1:11" x14ac:dyDescent="0.2">
      <c r="A567" t="s">
        <v>595</v>
      </c>
      <c r="B567" t="s">
        <v>534</v>
      </c>
      <c r="C567" t="s">
        <v>274</v>
      </c>
      <c r="D567" t="s">
        <v>1059</v>
      </c>
      <c r="E567">
        <v>20</v>
      </c>
      <c r="F567">
        <v>1279</v>
      </c>
      <c r="G567">
        <v>106.39</v>
      </c>
      <c r="H567">
        <v>1</v>
      </c>
      <c r="I567">
        <v>5</v>
      </c>
      <c r="J567">
        <v>1</v>
      </c>
      <c r="K567" cm="1">
        <f t="array" ref="K567">IF(COUNTA(_xlfn.UNIQUE(_xlfn._xlws.FILTER($C$2:$C$1001,$B$2:$B$1001=B567)))=1,1,0)</f>
        <v>0</v>
      </c>
    </row>
    <row r="568" spans="1:11" x14ac:dyDescent="0.2">
      <c r="A568" t="s">
        <v>596</v>
      </c>
      <c r="B568" t="s">
        <v>530</v>
      </c>
      <c r="C568" t="s">
        <v>274</v>
      </c>
      <c r="D568" t="s">
        <v>1065</v>
      </c>
      <c r="E568">
        <v>86</v>
      </c>
      <c r="F568">
        <v>7135</v>
      </c>
      <c r="G568">
        <v>90.66</v>
      </c>
      <c r="H568">
        <v>2</v>
      </c>
      <c r="I568">
        <v>5</v>
      </c>
      <c r="J568">
        <v>2</v>
      </c>
      <c r="K568" cm="1">
        <f t="array" ref="K568">IF(COUNTA(_xlfn.UNIQUE(_xlfn._xlws.FILTER($C$2:$C$1001,$B$2:$B$1001=B568)))=1,1,0)</f>
        <v>0</v>
      </c>
    </row>
    <row r="569" spans="1:11" x14ac:dyDescent="0.2">
      <c r="A569" t="s">
        <v>597</v>
      </c>
      <c r="B569" t="s">
        <v>534</v>
      </c>
      <c r="C569" t="s">
        <v>527</v>
      </c>
      <c r="D569" t="s">
        <v>1066</v>
      </c>
      <c r="E569">
        <v>75</v>
      </c>
      <c r="F569">
        <v>8697</v>
      </c>
      <c r="G569">
        <v>129.22</v>
      </c>
      <c r="H569">
        <v>3</v>
      </c>
      <c r="I569">
        <v>5</v>
      </c>
      <c r="J569">
        <v>2</v>
      </c>
      <c r="K569" cm="1">
        <f t="array" ref="K569">IF(COUNTA(_xlfn.UNIQUE(_xlfn._xlws.FILTER($C$2:$C$1001,$B$2:$B$1001=B569)))=1,1,0)</f>
        <v>0</v>
      </c>
    </row>
    <row r="570" spans="1:11" x14ac:dyDescent="0.2">
      <c r="A570" t="s">
        <v>598</v>
      </c>
      <c r="B570" t="s">
        <v>532</v>
      </c>
      <c r="C570" t="s">
        <v>527</v>
      </c>
      <c r="D570" t="s">
        <v>1064</v>
      </c>
      <c r="E570">
        <v>20</v>
      </c>
      <c r="F570">
        <v>3014</v>
      </c>
      <c r="G570">
        <v>62.78</v>
      </c>
      <c r="H570">
        <v>1</v>
      </c>
      <c r="I570">
        <v>5</v>
      </c>
      <c r="J570">
        <v>2</v>
      </c>
      <c r="K570" cm="1">
        <f t="array" ref="K570">IF(COUNTA(_xlfn.UNIQUE(_xlfn._xlws.FILTER($C$2:$C$1001,$B$2:$B$1001=B570)))=1,1,0)</f>
        <v>0</v>
      </c>
    </row>
    <row r="571" spans="1:11" x14ac:dyDescent="0.2">
      <c r="A571" t="s">
        <v>599</v>
      </c>
      <c r="B571" t="s">
        <v>534</v>
      </c>
      <c r="C571" t="s">
        <v>18</v>
      </c>
      <c r="D571" t="s">
        <v>1062</v>
      </c>
      <c r="E571">
        <v>33</v>
      </c>
      <c r="F571">
        <v>6675</v>
      </c>
      <c r="G571">
        <v>63.46</v>
      </c>
      <c r="H571">
        <v>1</v>
      </c>
      <c r="I571">
        <v>4</v>
      </c>
      <c r="J571">
        <v>1</v>
      </c>
      <c r="K571" cm="1">
        <f t="array" ref="K571">IF(COUNTA(_xlfn.UNIQUE(_xlfn._xlws.FILTER($C$2:$C$1001,$B$2:$B$1001=B571)))=1,1,0)</f>
        <v>0</v>
      </c>
    </row>
    <row r="572" spans="1:11" x14ac:dyDescent="0.2">
      <c r="A572" t="s">
        <v>600</v>
      </c>
      <c r="B572" t="s">
        <v>532</v>
      </c>
      <c r="C572" t="s">
        <v>527</v>
      </c>
      <c r="D572" t="s">
        <v>1064</v>
      </c>
      <c r="E572">
        <v>23</v>
      </c>
      <c r="F572">
        <v>3253</v>
      </c>
      <c r="G572">
        <v>78.83</v>
      </c>
      <c r="H572">
        <v>2</v>
      </c>
      <c r="I572">
        <v>5</v>
      </c>
      <c r="J572">
        <v>1</v>
      </c>
      <c r="K572" cm="1">
        <f t="array" ref="K572">IF(COUNTA(_xlfn.UNIQUE(_xlfn._xlws.FILTER($C$2:$C$1001,$B$2:$B$1001=B572)))=1,1,0)</f>
        <v>0</v>
      </c>
    </row>
    <row r="573" spans="1:11" x14ac:dyDescent="0.2">
      <c r="A573" t="s">
        <v>601</v>
      </c>
      <c r="B573" t="s">
        <v>532</v>
      </c>
      <c r="C573" t="s">
        <v>18</v>
      </c>
      <c r="D573" t="s">
        <v>1058</v>
      </c>
      <c r="E573">
        <v>79</v>
      </c>
      <c r="F573">
        <v>5054</v>
      </c>
      <c r="G573">
        <v>51.29</v>
      </c>
      <c r="H573">
        <v>2</v>
      </c>
      <c r="I573">
        <v>4</v>
      </c>
      <c r="J573">
        <v>2</v>
      </c>
      <c r="K573" cm="1">
        <f t="array" ref="K573">IF(COUNTA(_xlfn.UNIQUE(_xlfn._xlws.FILTER($C$2:$C$1001,$B$2:$B$1001=B573)))=1,1,0)</f>
        <v>0</v>
      </c>
    </row>
    <row r="574" spans="1:11" x14ac:dyDescent="0.2">
      <c r="A574" t="s">
        <v>602</v>
      </c>
      <c r="B574" t="s">
        <v>534</v>
      </c>
      <c r="C574" t="s">
        <v>18</v>
      </c>
      <c r="D574" t="s">
        <v>1062</v>
      </c>
      <c r="E574">
        <v>7</v>
      </c>
      <c r="F574">
        <v>4861</v>
      </c>
      <c r="G574">
        <v>104.89</v>
      </c>
      <c r="H574">
        <v>1</v>
      </c>
      <c r="I574">
        <v>5</v>
      </c>
      <c r="J574">
        <v>2</v>
      </c>
      <c r="K574" cm="1">
        <f t="array" ref="K574">IF(COUNTA(_xlfn.UNIQUE(_xlfn._xlws.FILTER($C$2:$C$1001,$B$2:$B$1001=B574)))=1,1,0)</f>
        <v>0</v>
      </c>
    </row>
    <row r="575" spans="1:11" x14ac:dyDescent="0.2">
      <c r="A575" t="s">
        <v>603</v>
      </c>
      <c r="B575" t="s">
        <v>532</v>
      </c>
      <c r="C575" t="s">
        <v>527</v>
      </c>
      <c r="D575" t="s">
        <v>1064</v>
      </c>
      <c r="E575">
        <v>22</v>
      </c>
      <c r="F575">
        <v>5078</v>
      </c>
      <c r="G575">
        <v>58.1</v>
      </c>
      <c r="H575">
        <v>2</v>
      </c>
      <c r="I575">
        <v>4</v>
      </c>
      <c r="J575">
        <v>2</v>
      </c>
      <c r="K575" cm="1">
        <f t="array" ref="K575">IF(COUNTA(_xlfn.UNIQUE(_xlfn._xlws.FILTER($C$2:$C$1001,$B$2:$B$1001=B575)))=1,1,0)</f>
        <v>0</v>
      </c>
    </row>
    <row r="576" spans="1:11" x14ac:dyDescent="0.2">
      <c r="A576" t="s">
        <v>604</v>
      </c>
      <c r="B576" t="s">
        <v>526</v>
      </c>
      <c r="C576" t="s">
        <v>527</v>
      </c>
      <c r="D576" t="s">
        <v>1056</v>
      </c>
      <c r="E576">
        <v>35</v>
      </c>
      <c r="F576">
        <v>4966</v>
      </c>
      <c r="G576">
        <v>96.38</v>
      </c>
      <c r="H576">
        <v>1</v>
      </c>
      <c r="I576">
        <v>5</v>
      </c>
      <c r="J576">
        <v>2</v>
      </c>
      <c r="K576" cm="1">
        <f t="array" ref="K576">IF(COUNTA(_xlfn.UNIQUE(_xlfn._xlws.FILTER($C$2:$C$1001,$B$2:$B$1001=B576)))=1,1,0)</f>
        <v>0</v>
      </c>
    </row>
    <row r="577" spans="1:11" x14ac:dyDescent="0.2">
      <c r="A577" t="s">
        <v>605</v>
      </c>
      <c r="B577" t="s">
        <v>532</v>
      </c>
      <c r="C577" t="s">
        <v>18</v>
      </c>
      <c r="D577" t="s">
        <v>1058</v>
      </c>
      <c r="E577">
        <v>82</v>
      </c>
      <c r="F577">
        <v>3994</v>
      </c>
      <c r="G577">
        <v>81.52</v>
      </c>
      <c r="H577">
        <v>1</v>
      </c>
      <c r="I577">
        <v>5</v>
      </c>
      <c r="J577">
        <v>1</v>
      </c>
      <c r="K577" cm="1">
        <f t="array" ref="K577">IF(COUNTA(_xlfn.UNIQUE(_xlfn._xlws.FILTER($C$2:$C$1001,$B$2:$B$1001=B577)))=1,1,0)</f>
        <v>0</v>
      </c>
    </row>
    <row r="578" spans="1:11" x14ac:dyDescent="0.2">
      <c r="A578" t="s">
        <v>606</v>
      </c>
      <c r="B578" t="s">
        <v>532</v>
      </c>
      <c r="C578" t="s">
        <v>18</v>
      </c>
      <c r="D578" t="s">
        <v>1058</v>
      </c>
      <c r="E578">
        <v>19</v>
      </c>
      <c r="F578">
        <v>1242</v>
      </c>
      <c r="G578">
        <v>125.35</v>
      </c>
      <c r="H578">
        <v>1</v>
      </c>
      <c r="I578">
        <v>5</v>
      </c>
      <c r="J578">
        <v>2</v>
      </c>
      <c r="K578" cm="1">
        <f t="array" ref="K578">IF(COUNTA(_xlfn.UNIQUE(_xlfn._xlws.FILTER($C$2:$C$1001,$B$2:$B$1001=B578)))=1,1,0)</f>
        <v>0</v>
      </c>
    </row>
    <row r="579" spans="1:11" x14ac:dyDescent="0.2">
      <c r="A579" t="s">
        <v>607</v>
      </c>
      <c r="B579" t="s">
        <v>534</v>
      </c>
      <c r="C579" t="s">
        <v>18</v>
      </c>
      <c r="D579" t="s">
        <v>1062</v>
      </c>
      <c r="E579">
        <v>32</v>
      </c>
      <c r="F579">
        <v>3158</v>
      </c>
      <c r="G579">
        <v>78.45</v>
      </c>
      <c r="H579">
        <v>3</v>
      </c>
      <c r="I579">
        <v>4</v>
      </c>
      <c r="J579">
        <v>1</v>
      </c>
      <c r="K579" cm="1">
        <f t="array" ref="K579">IF(COUNTA(_xlfn.UNIQUE(_xlfn._xlws.FILTER($C$2:$C$1001,$B$2:$B$1001=B579)))=1,1,0)</f>
        <v>0</v>
      </c>
    </row>
    <row r="580" spans="1:11" x14ac:dyDescent="0.2">
      <c r="A580" t="s">
        <v>608</v>
      </c>
      <c r="B580" t="s">
        <v>526</v>
      </c>
      <c r="C580" t="s">
        <v>18</v>
      </c>
      <c r="D580" t="s">
        <v>1067</v>
      </c>
      <c r="E580">
        <v>84</v>
      </c>
      <c r="F580">
        <v>5306</v>
      </c>
      <c r="G580">
        <v>104.14</v>
      </c>
      <c r="H580">
        <v>2</v>
      </c>
      <c r="I580">
        <v>5</v>
      </c>
      <c r="J580">
        <v>2</v>
      </c>
      <c r="K580" cm="1">
        <f t="array" ref="K580">IF(COUNTA(_xlfn.UNIQUE(_xlfn._xlws.FILTER($C$2:$C$1001,$B$2:$B$1001=B580)))=1,1,0)</f>
        <v>0</v>
      </c>
    </row>
    <row r="581" spans="1:11" x14ac:dyDescent="0.2">
      <c r="A581" t="s">
        <v>609</v>
      </c>
      <c r="B581" t="s">
        <v>526</v>
      </c>
      <c r="C581" t="s">
        <v>274</v>
      </c>
      <c r="D581" t="s">
        <v>1063</v>
      </c>
      <c r="E581">
        <v>48</v>
      </c>
      <c r="F581">
        <v>3657</v>
      </c>
      <c r="G581">
        <v>132.01</v>
      </c>
      <c r="H581">
        <v>2</v>
      </c>
      <c r="I581">
        <v>5</v>
      </c>
      <c r="J581">
        <v>1</v>
      </c>
      <c r="K581" cm="1">
        <f t="array" ref="K581">IF(COUNTA(_xlfn.UNIQUE(_xlfn._xlws.FILTER($C$2:$C$1001,$B$2:$B$1001=B581)))=1,1,0)</f>
        <v>0</v>
      </c>
    </row>
    <row r="582" spans="1:11" x14ac:dyDescent="0.2">
      <c r="A582" t="s">
        <v>610</v>
      </c>
      <c r="B582" t="s">
        <v>532</v>
      </c>
      <c r="C582" t="s">
        <v>18</v>
      </c>
      <c r="D582" t="s">
        <v>1058</v>
      </c>
      <c r="E582">
        <v>67</v>
      </c>
      <c r="F582">
        <v>2466</v>
      </c>
      <c r="G582">
        <v>130.99</v>
      </c>
      <c r="H582">
        <v>2</v>
      </c>
      <c r="I582">
        <v>5</v>
      </c>
      <c r="J582">
        <v>2</v>
      </c>
      <c r="K582" cm="1">
        <f t="array" ref="K582">IF(COUNTA(_xlfn.UNIQUE(_xlfn._xlws.FILTER($C$2:$C$1001,$B$2:$B$1001=B582)))=1,1,0)</f>
        <v>0</v>
      </c>
    </row>
    <row r="583" spans="1:11" x14ac:dyDescent="0.2">
      <c r="A583" t="s">
        <v>611</v>
      </c>
      <c r="B583" t="s">
        <v>532</v>
      </c>
      <c r="C583" t="s">
        <v>274</v>
      </c>
      <c r="D583" t="s">
        <v>1060</v>
      </c>
      <c r="E583">
        <v>19</v>
      </c>
      <c r="F583">
        <v>9106</v>
      </c>
      <c r="G583">
        <v>120.17</v>
      </c>
      <c r="H583">
        <v>1</v>
      </c>
      <c r="I583">
        <v>4</v>
      </c>
      <c r="J583">
        <v>1</v>
      </c>
      <c r="K583" cm="1">
        <f t="array" ref="K583">IF(COUNTA(_xlfn.UNIQUE(_xlfn._xlws.FILTER($C$2:$C$1001,$B$2:$B$1001=B583)))=1,1,0)</f>
        <v>0</v>
      </c>
    </row>
    <row r="584" spans="1:11" x14ac:dyDescent="0.2">
      <c r="A584" t="s">
        <v>612</v>
      </c>
      <c r="B584" t="s">
        <v>534</v>
      </c>
      <c r="C584" t="s">
        <v>274</v>
      </c>
      <c r="D584" t="s">
        <v>1059</v>
      </c>
      <c r="E584">
        <v>51</v>
      </c>
      <c r="F584">
        <v>6599</v>
      </c>
      <c r="G584">
        <v>80.3</v>
      </c>
      <c r="H584">
        <v>2</v>
      </c>
      <c r="I584">
        <v>5</v>
      </c>
      <c r="J584">
        <v>1</v>
      </c>
      <c r="K584" cm="1">
        <f t="array" ref="K584">IF(COUNTA(_xlfn.UNIQUE(_xlfn._xlws.FILTER($C$2:$C$1001,$B$2:$B$1001=B584)))=1,1,0)</f>
        <v>0</v>
      </c>
    </row>
    <row r="585" spans="1:11" x14ac:dyDescent="0.2">
      <c r="A585" t="s">
        <v>613</v>
      </c>
      <c r="B585" t="s">
        <v>526</v>
      </c>
      <c r="C585" t="s">
        <v>527</v>
      </c>
      <c r="D585" t="s">
        <v>1056</v>
      </c>
      <c r="E585">
        <v>42</v>
      </c>
      <c r="F585">
        <v>9504</v>
      </c>
      <c r="G585">
        <v>107.97</v>
      </c>
      <c r="H585">
        <v>3</v>
      </c>
      <c r="I585">
        <v>4</v>
      </c>
      <c r="J585">
        <v>2</v>
      </c>
      <c r="K585" cm="1">
        <f t="array" ref="K585">IF(COUNTA(_xlfn.UNIQUE(_xlfn._xlws.FILTER($C$2:$C$1001,$B$2:$B$1001=B585)))=1,1,0)</f>
        <v>0</v>
      </c>
    </row>
    <row r="586" spans="1:11" x14ac:dyDescent="0.2">
      <c r="A586" t="s">
        <v>614</v>
      </c>
      <c r="B586" t="s">
        <v>530</v>
      </c>
      <c r="C586" t="s">
        <v>274</v>
      </c>
      <c r="D586" t="s">
        <v>1065</v>
      </c>
      <c r="E586">
        <v>85</v>
      </c>
      <c r="F586">
        <v>1272</v>
      </c>
      <c r="G586">
        <v>115.81</v>
      </c>
      <c r="H586">
        <v>1</v>
      </c>
      <c r="I586">
        <v>3</v>
      </c>
      <c r="J586">
        <v>1</v>
      </c>
      <c r="K586" cm="1">
        <f t="array" ref="K586">IF(COUNTA(_xlfn.UNIQUE(_xlfn._xlws.FILTER($C$2:$C$1001,$B$2:$B$1001=B586)))=1,1,0)</f>
        <v>0</v>
      </c>
    </row>
    <row r="587" spans="1:11" x14ac:dyDescent="0.2">
      <c r="A587" t="s">
        <v>615</v>
      </c>
      <c r="B587" t="s">
        <v>530</v>
      </c>
      <c r="C587" t="s">
        <v>274</v>
      </c>
      <c r="D587" t="s">
        <v>1065</v>
      </c>
      <c r="E587">
        <v>70</v>
      </c>
      <c r="F587">
        <v>1506</v>
      </c>
      <c r="G587">
        <v>91.48</v>
      </c>
      <c r="H587">
        <v>2</v>
      </c>
      <c r="I587">
        <v>4</v>
      </c>
      <c r="J587">
        <v>1</v>
      </c>
      <c r="K587" cm="1">
        <f t="array" ref="K587">IF(COUNTA(_xlfn.UNIQUE(_xlfn._xlws.FILTER($C$2:$C$1001,$B$2:$B$1001=B587)))=1,1,0)</f>
        <v>0</v>
      </c>
    </row>
    <row r="588" spans="1:11" x14ac:dyDescent="0.2">
      <c r="A588" t="s">
        <v>616</v>
      </c>
      <c r="B588" t="s">
        <v>526</v>
      </c>
      <c r="C588" t="s">
        <v>18</v>
      </c>
      <c r="D588" t="s">
        <v>1067</v>
      </c>
      <c r="E588">
        <v>58</v>
      </c>
      <c r="F588">
        <v>2192</v>
      </c>
      <c r="G588">
        <v>123.05</v>
      </c>
      <c r="H588">
        <v>1</v>
      </c>
      <c r="I588">
        <v>5</v>
      </c>
      <c r="J588">
        <v>2</v>
      </c>
      <c r="K588" cm="1">
        <f t="array" ref="K588">IF(COUNTA(_xlfn.UNIQUE(_xlfn._xlws.FILTER($C$2:$C$1001,$B$2:$B$1001=B588)))=1,1,0)</f>
        <v>0</v>
      </c>
    </row>
    <row r="589" spans="1:11" x14ac:dyDescent="0.2">
      <c r="A589" t="s">
        <v>617</v>
      </c>
      <c r="B589" t="s">
        <v>534</v>
      </c>
      <c r="C589" t="s">
        <v>274</v>
      </c>
      <c r="D589" t="s">
        <v>1059</v>
      </c>
      <c r="E589">
        <v>77</v>
      </c>
      <c r="F589">
        <v>2539</v>
      </c>
      <c r="G589">
        <v>89.17</v>
      </c>
      <c r="H589">
        <v>1</v>
      </c>
      <c r="I589">
        <v>4</v>
      </c>
      <c r="J589">
        <v>1</v>
      </c>
      <c r="K589" cm="1">
        <f t="array" ref="K589">IF(COUNTA(_xlfn.UNIQUE(_xlfn._xlws.FILTER($C$2:$C$1001,$B$2:$B$1001=B589)))=1,1,0)</f>
        <v>0</v>
      </c>
    </row>
    <row r="590" spans="1:11" x14ac:dyDescent="0.2">
      <c r="A590" t="s">
        <v>618</v>
      </c>
      <c r="B590" t="s">
        <v>530</v>
      </c>
      <c r="C590" t="s">
        <v>18</v>
      </c>
      <c r="D590" t="s">
        <v>1061</v>
      </c>
      <c r="E590">
        <v>38</v>
      </c>
      <c r="F590">
        <v>1919</v>
      </c>
      <c r="G590">
        <v>59.86</v>
      </c>
      <c r="H590">
        <v>3</v>
      </c>
      <c r="I590">
        <v>5</v>
      </c>
      <c r="J590">
        <v>1</v>
      </c>
      <c r="K590" cm="1">
        <f t="array" ref="K590">IF(COUNTA(_xlfn.UNIQUE(_xlfn._xlws.FILTER($C$2:$C$1001,$B$2:$B$1001=B590)))=1,1,0)</f>
        <v>0</v>
      </c>
    </row>
    <row r="591" spans="1:11" x14ac:dyDescent="0.2">
      <c r="A591" t="s">
        <v>619</v>
      </c>
      <c r="B591" t="s">
        <v>530</v>
      </c>
      <c r="C591" t="s">
        <v>18</v>
      </c>
      <c r="D591" t="s">
        <v>1061</v>
      </c>
      <c r="E591">
        <v>10</v>
      </c>
      <c r="F591">
        <v>2436</v>
      </c>
      <c r="G591">
        <v>67.209999999999994</v>
      </c>
      <c r="H591">
        <v>2</v>
      </c>
      <c r="I591">
        <v>5</v>
      </c>
      <c r="J591">
        <v>2</v>
      </c>
      <c r="K591" cm="1">
        <f t="array" ref="K591">IF(COUNTA(_xlfn.UNIQUE(_xlfn._xlws.FILTER($C$2:$C$1001,$B$2:$B$1001=B591)))=1,1,0)</f>
        <v>0</v>
      </c>
    </row>
    <row r="592" spans="1:11" x14ac:dyDescent="0.2">
      <c r="A592" t="s">
        <v>620</v>
      </c>
      <c r="B592" t="s">
        <v>534</v>
      </c>
      <c r="C592" t="s">
        <v>274</v>
      </c>
      <c r="D592" t="s">
        <v>1059</v>
      </c>
      <c r="E592">
        <v>81</v>
      </c>
      <c r="F592">
        <v>9111</v>
      </c>
      <c r="G592">
        <v>143.96</v>
      </c>
      <c r="H592">
        <v>1</v>
      </c>
      <c r="I592">
        <v>4</v>
      </c>
      <c r="J592">
        <v>1</v>
      </c>
      <c r="K592" cm="1">
        <f t="array" ref="K592">IF(COUNTA(_xlfn.UNIQUE(_xlfn._xlws.FILTER($C$2:$C$1001,$B$2:$B$1001=B592)))=1,1,0)</f>
        <v>0</v>
      </c>
    </row>
    <row r="593" spans="1:11" x14ac:dyDescent="0.2">
      <c r="A593" t="s">
        <v>621</v>
      </c>
      <c r="B593" t="s">
        <v>530</v>
      </c>
      <c r="C593" t="s">
        <v>527</v>
      </c>
      <c r="D593" t="s">
        <v>1057</v>
      </c>
      <c r="E593">
        <v>12</v>
      </c>
      <c r="F593">
        <v>1692</v>
      </c>
      <c r="G593">
        <v>132.87</v>
      </c>
      <c r="H593">
        <v>3</v>
      </c>
      <c r="I593">
        <v>5</v>
      </c>
      <c r="J593">
        <v>1</v>
      </c>
      <c r="K593" cm="1">
        <f t="array" ref="K593">IF(COUNTA(_xlfn.UNIQUE(_xlfn._xlws.FILTER($C$2:$C$1001,$B$2:$B$1001=B593)))=1,1,0)</f>
        <v>0</v>
      </c>
    </row>
    <row r="594" spans="1:11" x14ac:dyDescent="0.2">
      <c r="A594" t="s">
        <v>622</v>
      </c>
      <c r="B594" t="s">
        <v>530</v>
      </c>
      <c r="C594" t="s">
        <v>274</v>
      </c>
      <c r="D594" t="s">
        <v>1065</v>
      </c>
      <c r="E594">
        <v>48</v>
      </c>
      <c r="F594">
        <v>9210</v>
      </c>
      <c r="G594">
        <v>130.16999999999999</v>
      </c>
      <c r="H594">
        <v>1</v>
      </c>
      <c r="I594">
        <v>5</v>
      </c>
      <c r="J594">
        <v>1</v>
      </c>
      <c r="K594" cm="1">
        <f t="array" ref="K594">IF(COUNTA(_xlfn.UNIQUE(_xlfn._xlws.FILTER($C$2:$C$1001,$B$2:$B$1001=B594)))=1,1,0)</f>
        <v>0</v>
      </c>
    </row>
    <row r="595" spans="1:11" x14ac:dyDescent="0.2">
      <c r="A595" t="s">
        <v>623</v>
      </c>
      <c r="B595" t="s">
        <v>534</v>
      </c>
      <c r="C595" t="s">
        <v>274</v>
      </c>
      <c r="D595" t="s">
        <v>1059</v>
      </c>
      <c r="E595">
        <v>35</v>
      </c>
      <c r="F595">
        <v>1861</v>
      </c>
      <c r="G595">
        <v>128.59</v>
      </c>
      <c r="H595">
        <v>1</v>
      </c>
      <c r="I595">
        <v>5</v>
      </c>
      <c r="J595">
        <v>1</v>
      </c>
      <c r="K595" cm="1">
        <f t="array" ref="K595">IF(COUNTA(_xlfn.UNIQUE(_xlfn._xlws.FILTER($C$2:$C$1001,$B$2:$B$1001=B595)))=1,1,0)</f>
        <v>0</v>
      </c>
    </row>
    <row r="596" spans="1:11" x14ac:dyDescent="0.2">
      <c r="A596" t="s">
        <v>624</v>
      </c>
      <c r="B596" t="s">
        <v>534</v>
      </c>
      <c r="C596" t="s">
        <v>274</v>
      </c>
      <c r="D596" t="s">
        <v>1059</v>
      </c>
      <c r="E596">
        <v>13</v>
      </c>
      <c r="F596">
        <v>6811</v>
      </c>
      <c r="G596">
        <v>85.15</v>
      </c>
      <c r="H596">
        <v>1</v>
      </c>
      <c r="I596">
        <v>5</v>
      </c>
      <c r="J596">
        <v>1</v>
      </c>
      <c r="K596" cm="1">
        <f t="array" ref="K596">IF(COUNTA(_xlfn.UNIQUE(_xlfn._xlws.FILTER($C$2:$C$1001,$B$2:$B$1001=B596)))=1,1,0)</f>
        <v>0</v>
      </c>
    </row>
    <row r="597" spans="1:11" x14ac:dyDescent="0.2">
      <c r="A597" t="s">
        <v>625</v>
      </c>
      <c r="B597" t="s">
        <v>526</v>
      </c>
      <c r="C597" t="s">
        <v>527</v>
      </c>
      <c r="D597" t="s">
        <v>1056</v>
      </c>
      <c r="E597">
        <v>28</v>
      </c>
      <c r="F597">
        <v>5675</v>
      </c>
      <c r="G597">
        <v>125.21</v>
      </c>
      <c r="H597">
        <v>2</v>
      </c>
      <c r="I597">
        <v>4</v>
      </c>
      <c r="J597">
        <v>1</v>
      </c>
      <c r="K597" cm="1">
        <f t="array" ref="K597">IF(COUNTA(_xlfn.UNIQUE(_xlfn._xlws.FILTER($C$2:$C$1001,$B$2:$B$1001=B597)))=1,1,0)</f>
        <v>0</v>
      </c>
    </row>
    <row r="598" spans="1:11" x14ac:dyDescent="0.2">
      <c r="A598" t="s">
        <v>626</v>
      </c>
      <c r="B598" t="s">
        <v>530</v>
      </c>
      <c r="C598" t="s">
        <v>18</v>
      </c>
      <c r="D598" t="s">
        <v>1061</v>
      </c>
      <c r="E598">
        <v>20</v>
      </c>
      <c r="F598">
        <v>4096</v>
      </c>
      <c r="G598">
        <v>113.15</v>
      </c>
      <c r="H598">
        <v>3</v>
      </c>
      <c r="I598">
        <v>5</v>
      </c>
      <c r="J598">
        <v>1</v>
      </c>
      <c r="K598" cm="1">
        <f t="array" ref="K598">IF(COUNTA(_xlfn.UNIQUE(_xlfn._xlws.FILTER($C$2:$C$1001,$B$2:$B$1001=B598)))=1,1,0)</f>
        <v>0</v>
      </c>
    </row>
    <row r="599" spans="1:11" x14ac:dyDescent="0.2">
      <c r="A599" t="s">
        <v>627</v>
      </c>
      <c r="B599" t="s">
        <v>526</v>
      </c>
      <c r="C599" t="s">
        <v>527</v>
      </c>
      <c r="D599" t="s">
        <v>1056</v>
      </c>
      <c r="E599">
        <v>48</v>
      </c>
      <c r="F599">
        <v>9456</v>
      </c>
      <c r="G599">
        <v>72.05</v>
      </c>
      <c r="H599">
        <v>3</v>
      </c>
      <c r="I599">
        <v>4</v>
      </c>
      <c r="J599">
        <v>2</v>
      </c>
      <c r="K599" cm="1">
        <f t="array" ref="K599">IF(COUNTA(_xlfn.UNIQUE(_xlfn._xlws.FILTER($C$2:$C$1001,$B$2:$B$1001=B599)))=1,1,0)</f>
        <v>0</v>
      </c>
    </row>
    <row r="600" spans="1:11" x14ac:dyDescent="0.2">
      <c r="A600" t="s">
        <v>628</v>
      </c>
      <c r="B600" t="s">
        <v>534</v>
      </c>
      <c r="C600" t="s">
        <v>18</v>
      </c>
      <c r="D600" t="s">
        <v>1062</v>
      </c>
      <c r="E600">
        <v>16</v>
      </c>
      <c r="F600">
        <v>4854</v>
      </c>
      <c r="G600">
        <v>72.680000000000007</v>
      </c>
      <c r="H600">
        <v>3</v>
      </c>
      <c r="I600">
        <v>5</v>
      </c>
      <c r="J600">
        <v>1</v>
      </c>
      <c r="K600" cm="1">
        <f t="array" ref="K600">IF(COUNTA(_xlfn.UNIQUE(_xlfn._xlws.FILTER($C$2:$C$1001,$B$2:$B$1001=B600)))=1,1,0)</f>
        <v>0</v>
      </c>
    </row>
    <row r="601" spans="1:11" x14ac:dyDescent="0.2">
      <c r="A601" t="s">
        <v>629</v>
      </c>
      <c r="B601" t="s">
        <v>532</v>
      </c>
      <c r="C601" t="s">
        <v>527</v>
      </c>
      <c r="D601" t="s">
        <v>1064</v>
      </c>
      <c r="E601">
        <v>14</v>
      </c>
      <c r="F601">
        <v>6515</v>
      </c>
      <c r="G601">
        <v>109.8</v>
      </c>
      <c r="H601">
        <v>2</v>
      </c>
      <c r="I601">
        <v>5</v>
      </c>
      <c r="J601">
        <v>1</v>
      </c>
      <c r="K601" cm="1">
        <f t="array" ref="K601">IF(COUNTA(_xlfn.UNIQUE(_xlfn._xlws.FILTER($C$2:$C$1001,$B$2:$B$1001=B601)))=1,1,0)</f>
        <v>0</v>
      </c>
    </row>
    <row r="602" spans="1:11" x14ac:dyDescent="0.2">
      <c r="A602" t="s">
        <v>630</v>
      </c>
      <c r="B602" t="s">
        <v>532</v>
      </c>
      <c r="C602" t="s">
        <v>527</v>
      </c>
      <c r="D602" t="s">
        <v>1064</v>
      </c>
      <c r="E602">
        <v>73</v>
      </c>
      <c r="F602">
        <v>7019</v>
      </c>
      <c r="G602">
        <v>64.53</v>
      </c>
      <c r="H602">
        <v>2</v>
      </c>
      <c r="I602">
        <v>4</v>
      </c>
      <c r="J602">
        <v>1</v>
      </c>
      <c r="K602" cm="1">
        <f t="array" ref="K602">IF(COUNTA(_xlfn.UNIQUE(_xlfn._xlws.FILTER($C$2:$C$1001,$B$2:$B$1001=B602)))=1,1,0)</f>
        <v>0</v>
      </c>
    </row>
    <row r="603" spans="1:11" x14ac:dyDescent="0.2">
      <c r="A603" t="s">
        <v>631</v>
      </c>
      <c r="B603" t="s">
        <v>532</v>
      </c>
      <c r="C603" t="s">
        <v>274</v>
      </c>
      <c r="D603" t="s">
        <v>1060</v>
      </c>
      <c r="E603">
        <v>28</v>
      </c>
      <c r="F603">
        <v>2016</v>
      </c>
      <c r="G603">
        <v>75.81</v>
      </c>
      <c r="H603">
        <v>1</v>
      </c>
      <c r="I603">
        <v>4</v>
      </c>
      <c r="J603">
        <v>1</v>
      </c>
      <c r="K603" cm="1">
        <f t="array" ref="K603">IF(COUNTA(_xlfn.UNIQUE(_xlfn._xlws.FILTER($C$2:$C$1001,$B$2:$B$1001=B603)))=1,1,0)</f>
        <v>0</v>
      </c>
    </row>
    <row r="604" spans="1:11" x14ac:dyDescent="0.2">
      <c r="A604" t="s">
        <v>632</v>
      </c>
      <c r="B604" t="s">
        <v>532</v>
      </c>
      <c r="C604" t="s">
        <v>527</v>
      </c>
      <c r="D604" t="s">
        <v>1064</v>
      </c>
      <c r="E604">
        <v>18</v>
      </c>
      <c r="F604">
        <v>3313</v>
      </c>
      <c r="G604">
        <v>95.12</v>
      </c>
      <c r="H604">
        <v>1</v>
      </c>
      <c r="I604">
        <v>4</v>
      </c>
      <c r="J604">
        <v>1</v>
      </c>
      <c r="K604" cm="1">
        <f t="array" ref="K604">IF(COUNTA(_xlfn.UNIQUE(_xlfn._xlws.FILTER($C$2:$C$1001,$B$2:$B$1001=B604)))=1,1,0)</f>
        <v>0</v>
      </c>
    </row>
    <row r="605" spans="1:11" x14ac:dyDescent="0.2">
      <c r="A605" t="s">
        <v>633</v>
      </c>
      <c r="B605" t="s">
        <v>534</v>
      </c>
      <c r="C605" t="s">
        <v>18</v>
      </c>
      <c r="D605" t="s">
        <v>1062</v>
      </c>
      <c r="E605">
        <v>75</v>
      </c>
      <c r="F605">
        <v>4917</v>
      </c>
      <c r="G605">
        <v>62.33</v>
      </c>
      <c r="H605">
        <v>2</v>
      </c>
      <c r="I605">
        <v>5</v>
      </c>
      <c r="J605">
        <v>1</v>
      </c>
      <c r="K605" cm="1">
        <f t="array" ref="K605">IF(COUNTA(_xlfn.UNIQUE(_xlfn._xlws.FILTER($C$2:$C$1001,$B$2:$B$1001=B605)))=1,1,0)</f>
        <v>0</v>
      </c>
    </row>
    <row r="606" spans="1:11" x14ac:dyDescent="0.2">
      <c r="A606" t="s">
        <v>634</v>
      </c>
      <c r="B606" t="s">
        <v>526</v>
      </c>
      <c r="C606" t="s">
        <v>18</v>
      </c>
      <c r="D606" t="s">
        <v>1067</v>
      </c>
      <c r="E606">
        <v>62</v>
      </c>
      <c r="F606">
        <v>2819</v>
      </c>
      <c r="G606">
        <v>142.81</v>
      </c>
      <c r="H606">
        <v>1</v>
      </c>
      <c r="I606">
        <v>5</v>
      </c>
      <c r="J606">
        <v>2</v>
      </c>
      <c r="K606" cm="1">
        <f t="array" ref="K606">IF(COUNTA(_xlfn.UNIQUE(_xlfn._xlws.FILTER($C$2:$C$1001,$B$2:$B$1001=B606)))=1,1,0)</f>
        <v>0</v>
      </c>
    </row>
    <row r="607" spans="1:11" x14ac:dyDescent="0.2">
      <c r="A607" t="s">
        <v>635</v>
      </c>
      <c r="B607" t="s">
        <v>526</v>
      </c>
      <c r="C607" t="s">
        <v>18</v>
      </c>
      <c r="D607" t="s">
        <v>1067</v>
      </c>
      <c r="E607">
        <v>86</v>
      </c>
      <c r="F607">
        <v>8235</v>
      </c>
      <c r="G607">
        <v>91.37</v>
      </c>
      <c r="H607">
        <v>2</v>
      </c>
      <c r="I607">
        <v>4</v>
      </c>
      <c r="J607">
        <v>2</v>
      </c>
      <c r="K607" cm="1">
        <f t="array" ref="K607">IF(COUNTA(_xlfn.UNIQUE(_xlfn._xlws.FILTER($C$2:$C$1001,$B$2:$B$1001=B607)))=1,1,0)</f>
        <v>0</v>
      </c>
    </row>
    <row r="608" spans="1:11" x14ac:dyDescent="0.2">
      <c r="A608" t="s">
        <v>636</v>
      </c>
      <c r="B608" t="s">
        <v>532</v>
      </c>
      <c r="C608" t="s">
        <v>274</v>
      </c>
      <c r="D608" t="s">
        <v>1060</v>
      </c>
      <c r="E608">
        <v>88</v>
      </c>
      <c r="F608">
        <v>4340</v>
      </c>
      <c r="G608">
        <v>89.31</v>
      </c>
      <c r="H608">
        <v>2</v>
      </c>
      <c r="I608">
        <v>5</v>
      </c>
      <c r="J608">
        <v>1</v>
      </c>
      <c r="K608" cm="1">
        <f t="array" ref="K608">IF(COUNTA(_xlfn.UNIQUE(_xlfn._xlws.FILTER($C$2:$C$1001,$B$2:$B$1001=B608)))=1,1,0)</f>
        <v>0</v>
      </c>
    </row>
    <row r="609" spans="1:11" x14ac:dyDescent="0.2">
      <c r="A609" t="s">
        <v>637</v>
      </c>
      <c r="B609" t="s">
        <v>530</v>
      </c>
      <c r="C609" t="s">
        <v>527</v>
      </c>
      <c r="D609" t="s">
        <v>1057</v>
      </c>
      <c r="E609">
        <v>61</v>
      </c>
      <c r="F609">
        <v>5270</v>
      </c>
      <c r="G609">
        <v>61.24</v>
      </c>
      <c r="H609">
        <v>2</v>
      </c>
      <c r="I609">
        <v>5</v>
      </c>
      <c r="J609">
        <v>1</v>
      </c>
      <c r="K609" cm="1">
        <f t="array" ref="K609">IF(COUNTA(_xlfn.UNIQUE(_xlfn._xlws.FILTER($C$2:$C$1001,$B$2:$B$1001=B609)))=1,1,0)</f>
        <v>0</v>
      </c>
    </row>
    <row r="610" spans="1:11" x14ac:dyDescent="0.2">
      <c r="A610" t="s">
        <v>638</v>
      </c>
      <c r="B610" t="s">
        <v>526</v>
      </c>
      <c r="C610" t="s">
        <v>527</v>
      </c>
      <c r="D610" t="s">
        <v>1056</v>
      </c>
      <c r="E610">
        <v>57</v>
      </c>
      <c r="F610">
        <v>7681</v>
      </c>
      <c r="G610">
        <v>82.49</v>
      </c>
      <c r="H610">
        <v>1</v>
      </c>
      <c r="I610">
        <v>3</v>
      </c>
      <c r="J610">
        <v>2</v>
      </c>
      <c r="K610" cm="1">
        <f t="array" ref="K610">IF(COUNTA(_xlfn.UNIQUE(_xlfn._xlws.FILTER($C$2:$C$1001,$B$2:$B$1001=B610)))=1,1,0)</f>
        <v>0</v>
      </c>
    </row>
    <row r="611" spans="1:11" x14ac:dyDescent="0.2">
      <c r="A611" t="s">
        <v>639</v>
      </c>
      <c r="B611" t="s">
        <v>526</v>
      </c>
      <c r="C611" t="s">
        <v>18</v>
      </c>
      <c r="D611" t="s">
        <v>1067</v>
      </c>
      <c r="E611">
        <v>25</v>
      </c>
      <c r="F611">
        <v>8669</v>
      </c>
      <c r="G611">
        <v>68.09</v>
      </c>
      <c r="H611">
        <v>2</v>
      </c>
      <c r="I611">
        <v>4</v>
      </c>
      <c r="J611">
        <v>1</v>
      </c>
      <c r="K611" cm="1">
        <f t="array" ref="K611">IF(COUNTA(_xlfn.UNIQUE(_xlfn._xlws.FILTER($C$2:$C$1001,$B$2:$B$1001=B611)))=1,1,0)</f>
        <v>0</v>
      </c>
    </row>
    <row r="612" spans="1:11" x14ac:dyDescent="0.2">
      <c r="A612" t="s">
        <v>640</v>
      </c>
      <c r="B612" t="s">
        <v>532</v>
      </c>
      <c r="C612" t="s">
        <v>274</v>
      </c>
      <c r="D612" t="s">
        <v>1060</v>
      </c>
      <c r="E612">
        <v>46</v>
      </c>
      <c r="F612">
        <v>6296</v>
      </c>
      <c r="G612">
        <v>136.63999999999999</v>
      </c>
      <c r="H612">
        <v>2</v>
      </c>
      <c r="I612">
        <v>5</v>
      </c>
      <c r="J612">
        <v>1</v>
      </c>
      <c r="K612" cm="1">
        <f t="array" ref="K612">IF(COUNTA(_xlfn.UNIQUE(_xlfn._xlws.FILTER($C$2:$C$1001,$B$2:$B$1001=B612)))=1,1,0)</f>
        <v>0</v>
      </c>
    </row>
    <row r="613" spans="1:11" x14ac:dyDescent="0.2">
      <c r="A613" t="s">
        <v>641</v>
      </c>
      <c r="B613" t="s">
        <v>532</v>
      </c>
      <c r="C613" t="s">
        <v>18</v>
      </c>
      <c r="D613" t="s">
        <v>1058</v>
      </c>
      <c r="E613">
        <v>78</v>
      </c>
      <c r="F613">
        <v>7453</v>
      </c>
      <c r="G613">
        <v>111.86</v>
      </c>
      <c r="H613">
        <v>1</v>
      </c>
      <c r="I613">
        <v>4</v>
      </c>
      <c r="J613">
        <v>2</v>
      </c>
      <c r="K613" cm="1">
        <f t="array" ref="K613">IF(COUNTA(_xlfn.UNIQUE(_xlfn._xlws.FILTER($C$2:$C$1001,$B$2:$B$1001=B613)))=1,1,0)</f>
        <v>0</v>
      </c>
    </row>
    <row r="614" spans="1:11" x14ac:dyDescent="0.2">
      <c r="A614" t="s">
        <v>642</v>
      </c>
      <c r="B614" t="s">
        <v>532</v>
      </c>
      <c r="C614" t="s">
        <v>527</v>
      </c>
      <c r="D614" t="s">
        <v>1064</v>
      </c>
      <c r="E614">
        <v>29</v>
      </c>
      <c r="F614">
        <v>3841</v>
      </c>
      <c r="G614">
        <v>107.18</v>
      </c>
      <c r="H614">
        <v>1</v>
      </c>
      <c r="I614">
        <v>4</v>
      </c>
      <c r="J614">
        <v>2</v>
      </c>
      <c r="K614" cm="1">
        <f t="array" ref="K614">IF(COUNTA(_xlfn.UNIQUE(_xlfn._xlws.FILTER($C$2:$C$1001,$B$2:$B$1001=B614)))=1,1,0)</f>
        <v>0</v>
      </c>
    </row>
    <row r="615" spans="1:11" x14ac:dyDescent="0.2">
      <c r="A615" t="s">
        <v>643</v>
      </c>
      <c r="B615" t="s">
        <v>526</v>
      </c>
      <c r="C615" t="s">
        <v>18</v>
      </c>
      <c r="D615" t="s">
        <v>1067</v>
      </c>
      <c r="E615">
        <v>85</v>
      </c>
      <c r="F615">
        <v>6014</v>
      </c>
      <c r="G615">
        <v>98.38</v>
      </c>
      <c r="H615">
        <v>2</v>
      </c>
      <c r="I615">
        <v>5</v>
      </c>
      <c r="J615">
        <v>2</v>
      </c>
      <c r="K615" cm="1">
        <f t="array" ref="K615">IF(COUNTA(_xlfn.UNIQUE(_xlfn._xlws.FILTER($C$2:$C$1001,$B$2:$B$1001=B615)))=1,1,0)</f>
        <v>0</v>
      </c>
    </row>
    <row r="616" spans="1:11" x14ac:dyDescent="0.2">
      <c r="A616" t="s">
        <v>644</v>
      </c>
      <c r="B616" t="s">
        <v>534</v>
      </c>
      <c r="C616" t="s">
        <v>18</v>
      </c>
      <c r="D616" t="s">
        <v>1062</v>
      </c>
      <c r="E616">
        <v>48</v>
      </c>
      <c r="F616">
        <v>2882</v>
      </c>
      <c r="G616">
        <v>69.88</v>
      </c>
      <c r="H616">
        <v>2</v>
      </c>
      <c r="I616">
        <v>5</v>
      </c>
      <c r="J616">
        <v>1</v>
      </c>
      <c r="K616" cm="1">
        <f t="array" ref="K616">IF(COUNTA(_xlfn.UNIQUE(_xlfn._xlws.FILTER($C$2:$C$1001,$B$2:$B$1001=B616)))=1,1,0)</f>
        <v>0</v>
      </c>
    </row>
    <row r="617" spans="1:11" x14ac:dyDescent="0.2">
      <c r="A617" t="s">
        <v>645</v>
      </c>
      <c r="B617" t="s">
        <v>526</v>
      </c>
      <c r="C617" t="s">
        <v>527</v>
      </c>
      <c r="D617" t="s">
        <v>1056</v>
      </c>
      <c r="E617">
        <v>27</v>
      </c>
      <c r="F617">
        <v>3693</v>
      </c>
      <c r="G617">
        <v>106.39</v>
      </c>
      <c r="H617">
        <v>1</v>
      </c>
      <c r="I617">
        <v>5</v>
      </c>
      <c r="J617">
        <v>1</v>
      </c>
      <c r="K617" cm="1">
        <f t="array" ref="K617">IF(COUNTA(_xlfn.UNIQUE(_xlfn._xlws.FILTER($C$2:$C$1001,$B$2:$B$1001=B617)))=1,1,0)</f>
        <v>0</v>
      </c>
    </row>
    <row r="618" spans="1:11" x14ac:dyDescent="0.2">
      <c r="A618" t="s">
        <v>646</v>
      </c>
      <c r="B618" t="s">
        <v>530</v>
      </c>
      <c r="C618" t="s">
        <v>527</v>
      </c>
      <c r="D618" t="s">
        <v>1057</v>
      </c>
      <c r="E618">
        <v>64</v>
      </c>
      <c r="F618">
        <v>7772</v>
      </c>
      <c r="G618">
        <v>63.05</v>
      </c>
      <c r="H618">
        <v>2</v>
      </c>
      <c r="I618">
        <v>4</v>
      </c>
      <c r="J618">
        <v>2</v>
      </c>
      <c r="K618" cm="1">
        <f t="array" ref="K618">IF(COUNTA(_xlfn.UNIQUE(_xlfn._xlws.FILTER($C$2:$C$1001,$B$2:$B$1001=B618)))=1,1,0)</f>
        <v>0</v>
      </c>
    </row>
    <row r="619" spans="1:11" x14ac:dyDescent="0.2">
      <c r="A619" t="s">
        <v>647</v>
      </c>
      <c r="B619" t="s">
        <v>530</v>
      </c>
      <c r="C619" t="s">
        <v>18</v>
      </c>
      <c r="D619" t="s">
        <v>1061</v>
      </c>
      <c r="E619">
        <v>46</v>
      </c>
      <c r="F619">
        <v>8164</v>
      </c>
      <c r="G619">
        <v>140.80000000000001</v>
      </c>
      <c r="H619">
        <v>1</v>
      </c>
      <c r="I619">
        <v>5</v>
      </c>
      <c r="J619">
        <v>2</v>
      </c>
      <c r="K619" cm="1">
        <f t="array" ref="K619">IF(COUNTA(_xlfn.UNIQUE(_xlfn._xlws.FILTER($C$2:$C$1001,$B$2:$B$1001=B619)))=1,1,0)</f>
        <v>0</v>
      </c>
    </row>
    <row r="620" spans="1:11" x14ac:dyDescent="0.2">
      <c r="A620" t="s">
        <v>648</v>
      </c>
      <c r="B620" t="s">
        <v>526</v>
      </c>
      <c r="C620" t="s">
        <v>527</v>
      </c>
      <c r="D620" t="s">
        <v>1056</v>
      </c>
      <c r="E620">
        <v>68</v>
      </c>
      <c r="F620">
        <v>6650</v>
      </c>
      <c r="G620">
        <v>97.16</v>
      </c>
      <c r="H620">
        <v>1</v>
      </c>
      <c r="I620">
        <v>5</v>
      </c>
      <c r="J620">
        <v>2</v>
      </c>
      <c r="K620" cm="1">
        <f t="array" ref="K620">IF(COUNTA(_xlfn.UNIQUE(_xlfn._xlws.FILTER($C$2:$C$1001,$B$2:$B$1001=B620)))=1,1,0)</f>
        <v>0</v>
      </c>
    </row>
    <row r="621" spans="1:11" x14ac:dyDescent="0.2">
      <c r="A621" t="s">
        <v>649</v>
      </c>
      <c r="B621" t="s">
        <v>534</v>
      </c>
      <c r="C621" t="s">
        <v>527</v>
      </c>
      <c r="D621" t="s">
        <v>1066</v>
      </c>
      <c r="E621">
        <v>25</v>
      </c>
      <c r="F621">
        <v>5603</v>
      </c>
      <c r="G621">
        <v>52.26</v>
      </c>
      <c r="H621">
        <v>2</v>
      </c>
      <c r="I621">
        <v>3</v>
      </c>
      <c r="J621">
        <v>2</v>
      </c>
      <c r="K621" cm="1">
        <f t="array" ref="K621">IF(COUNTA(_xlfn.UNIQUE(_xlfn._xlws.FILTER($C$2:$C$1001,$B$2:$B$1001=B621)))=1,1,0)</f>
        <v>0</v>
      </c>
    </row>
    <row r="622" spans="1:11" x14ac:dyDescent="0.2">
      <c r="A622" t="s">
        <v>650</v>
      </c>
      <c r="B622" t="s">
        <v>526</v>
      </c>
      <c r="C622" t="s">
        <v>18</v>
      </c>
      <c r="D622" t="s">
        <v>1067</v>
      </c>
      <c r="E622">
        <v>86</v>
      </c>
      <c r="F622">
        <v>6618</v>
      </c>
      <c r="G622">
        <v>124.99</v>
      </c>
      <c r="H622">
        <v>1</v>
      </c>
      <c r="I622">
        <v>4</v>
      </c>
      <c r="J622">
        <v>1</v>
      </c>
      <c r="K622" cm="1">
        <f t="array" ref="K622">IF(COUNTA(_xlfn.UNIQUE(_xlfn._xlws.FILTER($C$2:$C$1001,$B$2:$B$1001=B622)))=1,1,0)</f>
        <v>0</v>
      </c>
    </row>
    <row r="623" spans="1:11" x14ac:dyDescent="0.2">
      <c r="A623" t="s">
        <v>651</v>
      </c>
      <c r="B623" t="s">
        <v>532</v>
      </c>
      <c r="C623" t="s">
        <v>527</v>
      </c>
      <c r="D623" t="s">
        <v>1064</v>
      </c>
      <c r="E623">
        <v>54</v>
      </c>
      <c r="F623">
        <v>9536</v>
      </c>
      <c r="G623">
        <v>88.47</v>
      </c>
      <c r="H623">
        <v>2</v>
      </c>
      <c r="I623">
        <v>4</v>
      </c>
      <c r="J623">
        <v>1</v>
      </c>
      <c r="K623" cm="1">
        <f t="array" ref="K623">IF(COUNTA(_xlfn.UNIQUE(_xlfn._xlws.FILTER($C$2:$C$1001,$B$2:$B$1001=B623)))=1,1,0)</f>
        <v>0</v>
      </c>
    </row>
    <row r="624" spans="1:11" x14ac:dyDescent="0.2">
      <c r="A624" t="s">
        <v>652</v>
      </c>
      <c r="B624" t="s">
        <v>526</v>
      </c>
      <c r="C624" t="s">
        <v>527</v>
      </c>
      <c r="D624" t="s">
        <v>1056</v>
      </c>
      <c r="E624">
        <v>21</v>
      </c>
      <c r="F624">
        <v>7899</v>
      </c>
      <c r="G624">
        <v>67.180000000000007</v>
      </c>
      <c r="H624">
        <v>1</v>
      </c>
      <c r="I624">
        <v>5</v>
      </c>
      <c r="J624">
        <v>2</v>
      </c>
      <c r="K624" cm="1">
        <f t="array" ref="K624">IF(COUNTA(_xlfn.UNIQUE(_xlfn._xlws.FILTER($C$2:$C$1001,$B$2:$B$1001=B624)))=1,1,0)</f>
        <v>0</v>
      </c>
    </row>
    <row r="625" spans="1:11" x14ac:dyDescent="0.2">
      <c r="A625" t="s">
        <v>653</v>
      </c>
      <c r="B625" t="s">
        <v>532</v>
      </c>
      <c r="C625" t="s">
        <v>18</v>
      </c>
      <c r="D625" t="s">
        <v>1058</v>
      </c>
      <c r="E625">
        <v>58</v>
      </c>
      <c r="F625">
        <v>7297</v>
      </c>
      <c r="G625">
        <v>116.89</v>
      </c>
      <c r="H625">
        <v>2</v>
      </c>
      <c r="I625">
        <v>4</v>
      </c>
      <c r="J625">
        <v>2</v>
      </c>
      <c r="K625" cm="1">
        <f t="array" ref="K625">IF(COUNTA(_xlfn.UNIQUE(_xlfn._xlws.FILTER($C$2:$C$1001,$B$2:$B$1001=B625)))=1,1,0)</f>
        <v>0</v>
      </c>
    </row>
    <row r="626" spans="1:11" x14ac:dyDescent="0.2">
      <c r="A626" t="s">
        <v>654</v>
      </c>
      <c r="B626" t="s">
        <v>534</v>
      </c>
      <c r="C626" t="s">
        <v>274</v>
      </c>
      <c r="D626" t="s">
        <v>1059</v>
      </c>
      <c r="E626">
        <v>67</v>
      </c>
      <c r="F626">
        <v>1622</v>
      </c>
      <c r="G626">
        <v>106.46</v>
      </c>
      <c r="H626">
        <v>1</v>
      </c>
      <c r="I626">
        <v>4</v>
      </c>
      <c r="J626">
        <v>2</v>
      </c>
      <c r="K626" cm="1">
        <f t="array" ref="K626">IF(COUNTA(_xlfn.UNIQUE(_xlfn._xlws.FILTER($C$2:$C$1001,$B$2:$B$1001=B626)))=1,1,0)</f>
        <v>0</v>
      </c>
    </row>
    <row r="627" spans="1:11" x14ac:dyDescent="0.2">
      <c r="A627" t="s">
        <v>655</v>
      </c>
      <c r="B627" t="s">
        <v>526</v>
      </c>
      <c r="C627" t="s">
        <v>527</v>
      </c>
      <c r="D627" t="s">
        <v>1056</v>
      </c>
      <c r="E627">
        <v>48</v>
      </c>
      <c r="F627">
        <v>8533</v>
      </c>
      <c r="G627">
        <v>113.85</v>
      </c>
      <c r="H627">
        <v>2</v>
      </c>
      <c r="I627">
        <v>5</v>
      </c>
      <c r="J627">
        <v>2</v>
      </c>
      <c r="K627" cm="1">
        <f t="array" ref="K627">IF(COUNTA(_xlfn.UNIQUE(_xlfn._xlws.FILTER($C$2:$C$1001,$B$2:$B$1001=B627)))=1,1,0)</f>
        <v>0</v>
      </c>
    </row>
    <row r="628" spans="1:11" x14ac:dyDescent="0.2">
      <c r="A628" t="s">
        <v>656</v>
      </c>
      <c r="B628" t="s">
        <v>534</v>
      </c>
      <c r="C628" t="s">
        <v>527</v>
      </c>
      <c r="D628" t="s">
        <v>1066</v>
      </c>
      <c r="E628">
        <v>62</v>
      </c>
      <c r="F628">
        <v>1548</v>
      </c>
      <c r="G628">
        <v>91.63</v>
      </c>
      <c r="H628">
        <v>3</v>
      </c>
      <c r="I628">
        <v>5</v>
      </c>
      <c r="J628">
        <v>2</v>
      </c>
      <c r="K628" cm="1">
        <f t="array" ref="K628">IF(COUNTA(_xlfn.UNIQUE(_xlfn._xlws.FILTER($C$2:$C$1001,$B$2:$B$1001=B628)))=1,1,0)</f>
        <v>0</v>
      </c>
    </row>
    <row r="629" spans="1:11" x14ac:dyDescent="0.2">
      <c r="A629" t="s">
        <v>657</v>
      </c>
      <c r="B629" t="s">
        <v>532</v>
      </c>
      <c r="C629" t="s">
        <v>18</v>
      </c>
      <c r="D629" t="s">
        <v>1058</v>
      </c>
      <c r="E629">
        <v>37</v>
      </c>
      <c r="F629">
        <v>2174</v>
      </c>
      <c r="G629">
        <v>147.66</v>
      </c>
      <c r="H629">
        <v>1</v>
      </c>
      <c r="I629">
        <v>5</v>
      </c>
      <c r="J629">
        <v>1</v>
      </c>
      <c r="K629" cm="1">
        <f t="array" ref="K629">IF(COUNTA(_xlfn.UNIQUE(_xlfn._xlws.FILTER($C$2:$C$1001,$B$2:$B$1001=B629)))=1,1,0)</f>
        <v>0</v>
      </c>
    </row>
    <row r="630" spans="1:11" x14ac:dyDescent="0.2">
      <c r="A630" t="s">
        <v>658</v>
      </c>
      <c r="B630" t="s">
        <v>530</v>
      </c>
      <c r="C630" t="s">
        <v>274</v>
      </c>
      <c r="D630" t="s">
        <v>1065</v>
      </c>
      <c r="E630">
        <v>76</v>
      </c>
      <c r="F630">
        <v>5588</v>
      </c>
      <c r="G630">
        <v>55.45</v>
      </c>
      <c r="H630">
        <v>3</v>
      </c>
      <c r="I630">
        <v>5</v>
      </c>
      <c r="J630">
        <v>2</v>
      </c>
      <c r="K630" cm="1">
        <f t="array" ref="K630">IF(COUNTA(_xlfn.UNIQUE(_xlfn._xlws.FILTER($C$2:$C$1001,$B$2:$B$1001=B630)))=1,1,0)</f>
        <v>0</v>
      </c>
    </row>
    <row r="631" spans="1:11" x14ac:dyDescent="0.2">
      <c r="A631" t="s">
        <v>659</v>
      </c>
      <c r="B631" t="s">
        <v>526</v>
      </c>
      <c r="C631" t="s">
        <v>18</v>
      </c>
      <c r="D631" t="s">
        <v>1067</v>
      </c>
      <c r="E631">
        <v>66</v>
      </c>
      <c r="F631">
        <v>3933</v>
      </c>
      <c r="G631">
        <v>92.75</v>
      </c>
      <c r="H631">
        <v>2</v>
      </c>
      <c r="I631">
        <v>5</v>
      </c>
      <c r="J631">
        <v>2</v>
      </c>
      <c r="K631" cm="1">
        <f t="array" ref="K631">IF(COUNTA(_xlfn.UNIQUE(_xlfn._xlws.FILTER($C$2:$C$1001,$B$2:$B$1001=B631)))=1,1,0)</f>
        <v>0</v>
      </c>
    </row>
    <row r="632" spans="1:11" x14ac:dyDescent="0.2">
      <c r="A632" t="s">
        <v>660</v>
      </c>
      <c r="B632" t="s">
        <v>526</v>
      </c>
      <c r="C632" t="s">
        <v>18</v>
      </c>
      <c r="D632" t="s">
        <v>1067</v>
      </c>
      <c r="E632">
        <v>41</v>
      </c>
      <c r="F632">
        <v>5479</v>
      </c>
      <c r="G632">
        <v>142.15</v>
      </c>
      <c r="H632">
        <v>1</v>
      </c>
      <c r="I632">
        <v>5</v>
      </c>
      <c r="J632">
        <v>2</v>
      </c>
      <c r="K632" cm="1">
        <f t="array" ref="K632">IF(COUNTA(_xlfn.UNIQUE(_xlfn._xlws.FILTER($C$2:$C$1001,$B$2:$B$1001=B632)))=1,1,0)</f>
        <v>0</v>
      </c>
    </row>
    <row r="633" spans="1:11" x14ac:dyDescent="0.2">
      <c r="A633" t="s">
        <v>661</v>
      </c>
      <c r="B633" t="s">
        <v>526</v>
      </c>
      <c r="C633" t="s">
        <v>527</v>
      </c>
      <c r="D633" t="s">
        <v>1056</v>
      </c>
      <c r="E633">
        <v>57</v>
      </c>
      <c r="F633">
        <v>6731</v>
      </c>
      <c r="G633">
        <v>115.77</v>
      </c>
      <c r="H633">
        <v>1</v>
      </c>
      <c r="I633">
        <v>5</v>
      </c>
      <c r="J633">
        <v>1</v>
      </c>
      <c r="K633" cm="1">
        <f t="array" ref="K633">IF(COUNTA(_xlfn.UNIQUE(_xlfn._xlws.FILTER($C$2:$C$1001,$B$2:$B$1001=B633)))=1,1,0)</f>
        <v>0</v>
      </c>
    </row>
    <row r="634" spans="1:11" x14ac:dyDescent="0.2">
      <c r="A634" t="s">
        <v>662</v>
      </c>
      <c r="B634" t="s">
        <v>532</v>
      </c>
      <c r="C634" t="s">
        <v>527</v>
      </c>
      <c r="D634" t="s">
        <v>1064</v>
      </c>
      <c r="E634">
        <v>33</v>
      </c>
      <c r="F634">
        <v>7738</v>
      </c>
      <c r="G634">
        <v>110</v>
      </c>
      <c r="H634">
        <v>1</v>
      </c>
      <c r="I634">
        <v>5</v>
      </c>
      <c r="J634">
        <v>2</v>
      </c>
      <c r="K634" cm="1">
        <f t="array" ref="K634">IF(COUNTA(_xlfn.UNIQUE(_xlfn._xlws.FILTER($C$2:$C$1001,$B$2:$B$1001=B634)))=1,1,0)</f>
        <v>0</v>
      </c>
    </row>
    <row r="635" spans="1:11" x14ac:dyDescent="0.2">
      <c r="A635" t="s">
        <v>663</v>
      </c>
      <c r="B635" t="s">
        <v>530</v>
      </c>
      <c r="C635" t="s">
        <v>274</v>
      </c>
      <c r="D635" t="s">
        <v>1065</v>
      </c>
      <c r="E635">
        <v>87</v>
      </c>
      <c r="F635">
        <v>1913</v>
      </c>
      <c r="G635">
        <v>64.67</v>
      </c>
      <c r="H635">
        <v>1</v>
      </c>
      <c r="I635">
        <v>5</v>
      </c>
      <c r="J635">
        <v>1</v>
      </c>
      <c r="K635" cm="1">
        <f t="array" ref="K635">IF(COUNTA(_xlfn.UNIQUE(_xlfn._xlws.FILTER($C$2:$C$1001,$B$2:$B$1001=B635)))=1,1,0)</f>
        <v>0</v>
      </c>
    </row>
    <row r="636" spans="1:11" x14ac:dyDescent="0.2">
      <c r="A636" t="s">
        <v>664</v>
      </c>
      <c r="B636" t="s">
        <v>530</v>
      </c>
      <c r="C636" t="s">
        <v>18</v>
      </c>
      <c r="D636" t="s">
        <v>1061</v>
      </c>
      <c r="E636">
        <v>84</v>
      </c>
      <c r="F636">
        <v>8037</v>
      </c>
      <c r="G636">
        <v>101.06</v>
      </c>
      <c r="H636">
        <v>2</v>
      </c>
      <c r="I636">
        <v>3</v>
      </c>
      <c r="J636">
        <v>2</v>
      </c>
      <c r="K636" cm="1">
        <f t="array" ref="K636">IF(COUNTA(_xlfn.UNIQUE(_xlfn._xlws.FILTER($C$2:$C$1001,$B$2:$B$1001=B636)))=1,1,0)</f>
        <v>0</v>
      </c>
    </row>
    <row r="637" spans="1:11" x14ac:dyDescent="0.2">
      <c r="A637" t="s">
        <v>665</v>
      </c>
      <c r="B637" t="s">
        <v>526</v>
      </c>
      <c r="C637" t="s">
        <v>18</v>
      </c>
      <c r="D637" t="s">
        <v>1067</v>
      </c>
      <c r="E637">
        <v>77</v>
      </c>
      <c r="F637">
        <v>2894</v>
      </c>
      <c r="G637">
        <v>82.88</v>
      </c>
      <c r="H637">
        <v>2</v>
      </c>
      <c r="I637">
        <v>5</v>
      </c>
      <c r="J637">
        <v>2</v>
      </c>
      <c r="K637" cm="1">
        <f t="array" ref="K637">IF(COUNTA(_xlfn.UNIQUE(_xlfn._xlws.FILTER($C$2:$C$1001,$B$2:$B$1001=B637)))=1,1,0)</f>
        <v>0</v>
      </c>
    </row>
    <row r="638" spans="1:11" x14ac:dyDescent="0.2">
      <c r="A638" t="s">
        <v>666</v>
      </c>
      <c r="B638" t="s">
        <v>534</v>
      </c>
      <c r="C638" t="s">
        <v>18</v>
      </c>
      <c r="D638" t="s">
        <v>1062</v>
      </c>
      <c r="E638">
        <v>13</v>
      </c>
      <c r="F638">
        <v>2335</v>
      </c>
      <c r="G638">
        <v>109.78</v>
      </c>
      <c r="H638">
        <v>2</v>
      </c>
      <c r="I638">
        <v>4</v>
      </c>
      <c r="J638">
        <v>2</v>
      </c>
      <c r="K638" cm="1">
        <f t="array" ref="K638">IF(COUNTA(_xlfn.UNIQUE(_xlfn._xlws.FILTER($C$2:$C$1001,$B$2:$B$1001=B638)))=1,1,0)</f>
        <v>0</v>
      </c>
    </row>
    <row r="639" spans="1:11" x14ac:dyDescent="0.2">
      <c r="A639" t="s">
        <v>667</v>
      </c>
      <c r="B639" t="s">
        <v>526</v>
      </c>
      <c r="C639" t="s">
        <v>18</v>
      </c>
      <c r="D639" t="s">
        <v>1067</v>
      </c>
      <c r="E639">
        <v>39</v>
      </c>
      <c r="F639">
        <v>5267</v>
      </c>
      <c r="G639">
        <v>71.77</v>
      </c>
      <c r="H639">
        <v>1</v>
      </c>
      <c r="I639">
        <v>3</v>
      </c>
      <c r="J639">
        <v>1</v>
      </c>
      <c r="K639" cm="1">
        <f t="array" ref="K639">IF(COUNTA(_xlfn.UNIQUE(_xlfn._xlws.FILTER($C$2:$C$1001,$B$2:$B$1001=B639)))=1,1,0)</f>
        <v>0</v>
      </c>
    </row>
    <row r="640" spans="1:11" x14ac:dyDescent="0.2">
      <c r="A640" t="s">
        <v>668</v>
      </c>
      <c r="B640" t="s">
        <v>530</v>
      </c>
      <c r="C640" t="s">
        <v>527</v>
      </c>
      <c r="D640" t="s">
        <v>1057</v>
      </c>
      <c r="E640">
        <v>68</v>
      </c>
      <c r="F640">
        <v>6818</v>
      </c>
      <c r="G640">
        <v>107.78</v>
      </c>
      <c r="H640">
        <v>2</v>
      </c>
      <c r="I640">
        <v>5</v>
      </c>
      <c r="J640">
        <v>1</v>
      </c>
      <c r="K640" cm="1">
        <f t="array" ref="K640">IF(COUNTA(_xlfn.UNIQUE(_xlfn._xlws.FILTER($C$2:$C$1001,$B$2:$B$1001=B640)))=1,1,0)</f>
        <v>0</v>
      </c>
    </row>
    <row r="641" spans="1:11" x14ac:dyDescent="0.2">
      <c r="A641" t="s">
        <v>669</v>
      </c>
      <c r="B641" t="s">
        <v>526</v>
      </c>
      <c r="C641" t="s">
        <v>18</v>
      </c>
      <c r="D641" t="s">
        <v>1067</v>
      </c>
      <c r="E641">
        <v>84</v>
      </c>
      <c r="F641">
        <v>2340</v>
      </c>
      <c r="G641">
        <v>117.1</v>
      </c>
      <c r="H641">
        <v>2</v>
      </c>
      <c r="I641">
        <v>5</v>
      </c>
      <c r="J641">
        <v>1</v>
      </c>
      <c r="K641" cm="1">
        <f t="array" ref="K641">IF(COUNTA(_xlfn.UNIQUE(_xlfn._xlws.FILTER($C$2:$C$1001,$B$2:$B$1001=B641)))=1,1,0)</f>
        <v>0</v>
      </c>
    </row>
    <row r="642" spans="1:11" x14ac:dyDescent="0.2">
      <c r="A642" t="s">
        <v>670</v>
      </c>
      <c r="B642" t="s">
        <v>530</v>
      </c>
      <c r="C642" t="s">
        <v>18</v>
      </c>
      <c r="D642" t="s">
        <v>1061</v>
      </c>
      <c r="E642">
        <v>53</v>
      </c>
      <c r="F642">
        <v>7414</v>
      </c>
      <c r="G642">
        <v>146.13999999999999</v>
      </c>
      <c r="H642">
        <v>2</v>
      </c>
      <c r="I642">
        <v>4</v>
      </c>
      <c r="J642">
        <v>2</v>
      </c>
      <c r="K642" cm="1">
        <f t="array" ref="K642">IF(COUNTA(_xlfn.UNIQUE(_xlfn._xlws.FILTER($C$2:$C$1001,$B$2:$B$1001=B642)))=1,1,0)</f>
        <v>0</v>
      </c>
    </row>
    <row r="643" spans="1:11" x14ac:dyDescent="0.2">
      <c r="A643" t="s">
        <v>671</v>
      </c>
      <c r="B643" t="s">
        <v>534</v>
      </c>
      <c r="C643" t="s">
        <v>274</v>
      </c>
      <c r="D643" t="s">
        <v>1059</v>
      </c>
      <c r="E643">
        <v>7</v>
      </c>
      <c r="F643">
        <v>9543</v>
      </c>
      <c r="G643">
        <v>127.55</v>
      </c>
      <c r="H643">
        <v>1</v>
      </c>
      <c r="I643">
        <v>4</v>
      </c>
      <c r="J643">
        <v>1</v>
      </c>
      <c r="K643" cm="1">
        <f t="array" ref="K643">IF(COUNTA(_xlfn.UNIQUE(_xlfn._xlws.FILTER($C$2:$C$1001,$B$2:$B$1001=B643)))=1,1,0)</f>
        <v>0</v>
      </c>
    </row>
    <row r="644" spans="1:11" x14ac:dyDescent="0.2">
      <c r="A644" t="s">
        <v>672</v>
      </c>
      <c r="B644" t="s">
        <v>530</v>
      </c>
      <c r="C644" t="s">
        <v>527</v>
      </c>
      <c r="D644" t="s">
        <v>1057</v>
      </c>
      <c r="E644">
        <v>70</v>
      </c>
      <c r="F644">
        <v>8265</v>
      </c>
      <c r="G644">
        <v>85.72</v>
      </c>
      <c r="H644">
        <v>3</v>
      </c>
      <c r="I644">
        <v>5</v>
      </c>
      <c r="J644">
        <v>2</v>
      </c>
      <c r="K644" cm="1">
        <f t="array" ref="K644">IF(COUNTA(_xlfn.UNIQUE(_xlfn._xlws.FILTER($C$2:$C$1001,$B$2:$B$1001=B644)))=1,1,0)</f>
        <v>0</v>
      </c>
    </row>
    <row r="645" spans="1:11" x14ac:dyDescent="0.2">
      <c r="A645" t="s">
        <v>673</v>
      </c>
      <c r="B645" t="s">
        <v>534</v>
      </c>
      <c r="C645" t="s">
        <v>274</v>
      </c>
      <c r="D645" t="s">
        <v>1059</v>
      </c>
      <c r="E645">
        <v>22</v>
      </c>
      <c r="F645">
        <v>5435</v>
      </c>
      <c r="G645">
        <v>56.31</v>
      </c>
      <c r="H645">
        <v>2</v>
      </c>
      <c r="I645">
        <v>4</v>
      </c>
      <c r="J645">
        <v>1</v>
      </c>
      <c r="K645" cm="1">
        <f t="array" ref="K645">IF(COUNTA(_xlfn.UNIQUE(_xlfn._xlws.FILTER($C$2:$C$1001,$B$2:$B$1001=B645)))=1,1,0)</f>
        <v>0</v>
      </c>
    </row>
    <row r="646" spans="1:11" x14ac:dyDescent="0.2">
      <c r="A646" t="s">
        <v>674</v>
      </c>
      <c r="B646" t="s">
        <v>530</v>
      </c>
      <c r="C646" t="s">
        <v>274</v>
      </c>
      <c r="D646" t="s">
        <v>1065</v>
      </c>
      <c r="E646">
        <v>12</v>
      </c>
      <c r="F646">
        <v>8440</v>
      </c>
      <c r="G646">
        <v>91.9</v>
      </c>
      <c r="H646">
        <v>1</v>
      </c>
      <c r="I646">
        <v>5</v>
      </c>
      <c r="J646">
        <v>2</v>
      </c>
      <c r="K646" cm="1">
        <f t="array" ref="K646">IF(COUNTA(_xlfn.UNIQUE(_xlfn._xlws.FILTER($C$2:$C$1001,$B$2:$B$1001=B646)))=1,1,0)</f>
        <v>0</v>
      </c>
    </row>
    <row r="647" spans="1:11" x14ac:dyDescent="0.2">
      <c r="A647" t="s">
        <v>675</v>
      </c>
      <c r="B647" t="s">
        <v>534</v>
      </c>
      <c r="C647" t="s">
        <v>527</v>
      </c>
      <c r="D647" t="s">
        <v>1066</v>
      </c>
      <c r="E647">
        <v>63</v>
      </c>
      <c r="F647">
        <v>2551</v>
      </c>
      <c r="G647">
        <v>93.53</v>
      </c>
      <c r="H647">
        <v>1</v>
      </c>
      <c r="I647">
        <v>4</v>
      </c>
      <c r="J647">
        <v>1</v>
      </c>
      <c r="K647" cm="1">
        <f t="array" ref="K647">IF(COUNTA(_xlfn.UNIQUE(_xlfn._xlws.FILTER($C$2:$C$1001,$B$2:$B$1001=B647)))=1,1,0)</f>
        <v>0</v>
      </c>
    </row>
    <row r="648" spans="1:11" x14ac:dyDescent="0.2">
      <c r="A648" t="s">
        <v>676</v>
      </c>
      <c r="B648" t="s">
        <v>530</v>
      </c>
      <c r="C648" t="s">
        <v>527</v>
      </c>
      <c r="D648" t="s">
        <v>1057</v>
      </c>
      <c r="E648">
        <v>24</v>
      </c>
      <c r="F648">
        <v>8893</v>
      </c>
      <c r="G648">
        <v>141.5</v>
      </c>
      <c r="H648">
        <v>1</v>
      </c>
      <c r="I648">
        <v>5</v>
      </c>
      <c r="J648">
        <v>2</v>
      </c>
      <c r="K648" cm="1">
        <f t="array" ref="K648">IF(COUNTA(_xlfn.UNIQUE(_xlfn._xlws.FILTER($C$2:$C$1001,$B$2:$B$1001=B648)))=1,1,0)</f>
        <v>0</v>
      </c>
    </row>
    <row r="649" spans="1:11" x14ac:dyDescent="0.2">
      <c r="A649" t="s">
        <v>677</v>
      </c>
      <c r="B649" t="s">
        <v>526</v>
      </c>
      <c r="C649" t="s">
        <v>274</v>
      </c>
      <c r="D649" t="s">
        <v>1063</v>
      </c>
      <c r="E649">
        <v>65</v>
      </c>
      <c r="F649">
        <v>1215</v>
      </c>
      <c r="G649">
        <v>93.05</v>
      </c>
      <c r="H649">
        <v>2</v>
      </c>
      <c r="I649">
        <v>5</v>
      </c>
      <c r="J649">
        <v>2</v>
      </c>
      <c r="K649" cm="1">
        <f t="array" ref="K649">IF(COUNTA(_xlfn.UNIQUE(_xlfn._xlws.FILTER($C$2:$C$1001,$B$2:$B$1001=B649)))=1,1,0)</f>
        <v>0</v>
      </c>
    </row>
    <row r="650" spans="1:11" x14ac:dyDescent="0.2">
      <c r="A650" t="s">
        <v>678</v>
      </c>
      <c r="B650" t="s">
        <v>532</v>
      </c>
      <c r="C650" t="s">
        <v>274</v>
      </c>
      <c r="D650" t="s">
        <v>1060</v>
      </c>
      <c r="E650">
        <v>62</v>
      </c>
      <c r="F650">
        <v>4510</v>
      </c>
      <c r="G650">
        <v>73.45</v>
      </c>
      <c r="H650">
        <v>1</v>
      </c>
      <c r="I650">
        <v>5</v>
      </c>
      <c r="J650">
        <v>2</v>
      </c>
      <c r="K650" cm="1">
        <f t="array" ref="K650">IF(COUNTA(_xlfn.UNIQUE(_xlfn._xlws.FILTER($C$2:$C$1001,$B$2:$B$1001=B650)))=1,1,0)</f>
        <v>0</v>
      </c>
    </row>
    <row r="651" spans="1:11" x14ac:dyDescent="0.2">
      <c r="A651" t="s">
        <v>679</v>
      </c>
      <c r="B651" t="s">
        <v>534</v>
      </c>
      <c r="C651" t="s">
        <v>18</v>
      </c>
      <c r="D651" t="s">
        <v>1062</v>
      </c>
      <c r="E651">
        <v>87</v>
      </c>
      <c r="F651">
        <v>4020</v>
      </c>
      <c r="G651">
        <v>130.24</v>
      </c>
      <c r="H651">
        <v>1</v>
      </c>
      <c r="I651">
        <v>5</v>
      </c>
      <c r="J651">
        <v>1</v>
      </c>
      <c r="K651" cm="1">
        <f t="array" ref="K651">IF(COUNTA(_xlfn.UNIQUE(_xlfn._xlws.FILTER($C$2:$C$1001,$B$2:$B$1001=B651)))=1,1,0)</f>
        <v>0</v>
      </c>
    </row>
    <row r="652" spans="1:11" x14ac:dyDescent="0.2">
      <c r="A652" t="s">
        <v>680</v>
      </c>
      <c r="B652" t="s">
        <v>526</v>
      </c>
      <c r="C652" t="s">
        <v>18</v>
      </c>
      <c r="D652" t="s">
        <v>1067</v>
      </c>
      <c r="E652">
        <v>13</v>
      </c>
      <c r="F652">
        <v>3809</v>
      </c>
      <c r="G652">
        <v>117.16</v>
      </c>
      <c r="H652">
        <v>3</v>
      </c>
      <c r="I652">
        <v>4</v>
      </c>
      <c r="J652">
        <v>2</v>
      </c>
      <c r="K652" cm="1">
        <f t="array" ref="K652">IF(COUNTA(_xlfn.UNIQUE(_xlfn._xlws.FILTER($C$2:$C$1001,$B$2:$B$1001=B652)))=1,1,0)</f>
        <v>0</v>
      </c>
    </row>
    <row r="653" spans="1:11" x14ac:dyDescent="0.2">
      <c r="A653" t="s">
        <v>681</v>
      </c>
      <c r="B653" t="s">
        <v>532</v>
      </c>
      <c r="C653" t="s">
        <v>274</v>
      </c>
      <c r="D653" t="s">
        <v>1060</v>
      </c>
      <c r="E653">
        <v>27</v>
      </c>
      <c r="F653">
        <v>6187</v>
      </c>
      <c r="G653">
        <v>128.25</v>
      </c>
      <c r="H653">
        <v>3</v>
      </c>
      <c r="I653">
        <v>4</v>
      </c>
      <c r="J653">
        <v>2</v>
      </c>
      <c r="K653" cm="1">
        <f t="array" ref="K653">IF(COUNTA(_xlfn.UNIQUE(_xlfn._xlws.FILTER($C$2:$C$1001,$B$2:$B$1001=B653)))=1,1,0)</f>
        <v>0</v>
      </c>
    </row>
    <row r="654" spans="1:11" x14ac:dyDescent="0.2">
      <c r="A654" t="s">
        <v>682</v>
      </c>
      <c r="B654" t="s">
        <v>530</v>
      </c>
      <c r="C654" t="s">
        <v>18</v>
      </c>
      <c r="D654" t="s">
        <v>1061</v>
      </c>
      <c r="E654">
        <v>44</v>
      </c>
      <c r="F654">
        <v>2867</v>
      </c>
      <c r="G654">
        <v>50.7</v>
      </c>
      <c r="H654">
        <v>2</v>
      </c>
      <c r="I654">
        <v>5</v>
      </c>
      <c r="J654">
        <v>2</v>
      </c>
      <c r="K654" cm="1">
        <f t="array" ref="K654">IF(COUNTA(_xlfn.UNIQUE(_xlfn._xlws.FILTER($C$2:$C$1001,$B$2:$B$1001=B654)))=1,1,0)</f>
        <v>0</v>
      </c>
    </row>
    <row r="655" spans="1:11" x14ac:dyDescent="0.2">
      <c r="A655" t="s">
        <v>683</v>
      </c>
      <c r="B655" t="s">
        <v>532</v>
      </c>
      <c r="C655" t="s">
        <v>18</v>
      </c>
      <c r="D655" t="s">
        <v>1058</v>
      </c>
      <c r="E655">
        <v>63</v>
      </c>
      <c r="F655">
        <v>5631</v>
      </c>
      <c r="G655">
        <v>74.12</v>
      </c>
      <c r="H655">
        <v>1</v>
      </c>
      <c r="I655">
        <v>5</v>
      </c>
      <c r="J655">
        <v>2</v>
      </c>
      <c r="K655" cm="1">
        <f t="array" ref="K655">IF(COUNTA(_xlfn.UNIQUE(_xlfn._xlws.FILTER($C$2:$C$1001,$B$2:$B$1001=B655)))=1,1,0)</f>
        <v>0</v>
      </c>
    </row>
    <row r="656" spans="1:11" x14ac:dyDescent="0.2">
      <c r="A656" t="s">
        <v>684</v>
      </c>
      <c r="B656" t="s">
        <v>526</v>
      </c>
      <c r="C656" t="s">
        <v>527</v>
      </c>
      <c r="D656" t="s">
        <v>1056</v>
      </c>
      <c r="E656">
        <v>48</v>
      </c>
      <c r="F656">
        <v>4605</v>
      </c>
      <c r="G656">
        <v>86.33</v>
      </c>
      <c r="H656">
        <v>3</v>
      </c>
      <c r="I656">
        <v>3</v>
      </c>
      <c r="J656">
        <v>1</v>
      </c>
      <c r="K656" cm="1">
        <f t="array" ref="K656">IF(COUNTA(_xlfn.UNIQUE(_xlfn._xlws.FILTER($C$2:$C$1001,$B$2:$B$1001=B656)))=1,1,0)</f>
        <v>0</v>
      </c>
    </row>
    <row r="657" spans="1:11" x14ac:dyDescent="0.2">
      <c r="A657" t="s">
        <v>685</v>
      </c>
      <c r="B657" t="s">
        <v>530</v>
      </c>
      <c r="C657" t="s">
        <v>274</v>
      </c>
      <c r="D657" t="s">
        <v>1065</v>
      </c>
      <c r="E657">
        <v>85</v>
      </c>
      <c r="F657">
        <v>4830</v>
      </c>
      <c r="G657">
        <v>83.93</v>
      </c>
      <c r="H657">
        <v>2</v>
      </c>
      <c r="I657">
        <v>3</v>
      </c>
      <c r="J657">
        <v>2</v>
      </c>
      <c r="K657" cm="1">
        <f t="array" ref="K657">IF(COUNTA(_xlfn.UNIQUE(_xlfn._xlws.FILTER($C$2:$C$1001,$B$2:$B$1001=B657)))=1,1,0)</f>
        <v>0</v>
      </c>
    </row>
    <row r="658" spans="1:11" x14ac:dyDescent="0.2">
      <c r="A658" t="s">
        <v>686</v>
      </c>
      <c r="B658" t="s">
        <v>530</v>
      </c>
      <c r="C658" t="s">
        <v>274</v>
      </c>
      <c r="D658" t="s">
        <v>1065</v>
      </c>
      <c r="E658">
        <v>7</v>
      </c>
      <c r="F658">
        <v>2910</v>
      </c>
      <c r="G658">
        <v>121.79</v>
      </c>
      <c r="H658">
        <v>3</v>
      </c>
      <c r="I658">
        <v>5</v>
      </c>
      <c r="J658">
        <v>1</v>
      </c>
      <c r="K658" cm="1">
        <f t="array" ref="K658">IF(COUNTA(_xlfn.UNIQUE(_xlfn._xlws.FILTER($C$2:$C$1001,$B$2:$B$1001=B658)))=1,1,0)</f>
        <v>0</v>
      </c>
    </row>
    <row r="659" spans="1:11" x14ac:dyDescent="0.2">
      <c r="A659" t="s">
        <v>687</v>
      </c>
      <c r="B659" t="s">
        <v>532</v>
      </c>
      <c r="C659" t="s">
        <v>527</v>
      </c>
      <c r="D659" t="s">
        <v>1064</v>
      </c>
      <c r="E659">
        <v>67</v>
      </c>
      <c r="F659">
        <v>7464</v>
      </c>
      <c r="G659">
        <v>61.87</v>
      </c>
      <c r="H659">
        <v>1</v>
      </c>
      <c r="I659">
        <v>5</v>
      </c>
      <c r="J659">
        <v>1</v>
      </c>
      <c r="K659" cm="1">
        <f t="array" ref="K659">IF(COUNTA(_xlfn.UNIQUE(_xlfn._xlws.FILTER($C$2:$C$1001,$B$2:$B$1001=B659)))=1,1,0)</f>
        <v>0</v>
      </c>
    </row>
    <row r="660" spans="1:11" x14ac:dyDescent="0.2">
      <c r="A660" t="s">
        <v>688</v>
      </c>
      <c r="B660" t="s">
        <v>530</v>
      </c>
      <c r="C660" t="s">
        <v>527</v>
      </c>
      <c r="D660" t="s">
        <v>1057</v>
      </c>
      <c r="E660">
        <v>13</v>
      </c>
      <c r="F660">
        <v>1585</v>
      </c>
      <c r="G660">
        <v>101.18</v>
      </c>
      <c r="H660">
        <v>3</v>
      </c>
      <c r="I660">
        <v>5</v>
      </c>
      <c r="J660">
        <v>2</v>
      </c>
      <c r="K660" cm="1">
        <f t="array" ref="K660">IF(COUNTA(_xlfn.UNIQUE(_xlfn._xlws.FILTER($C$2:$C$1001,$B$2:$B$1001=B660)))=1,1,0)</f>
        <v>0</v>
      </c>
    </row>
    <row r="661" spans="1:11" x14ac:dyDescent="0.2">
      <c r="A661" t="s">
        <v>689</v>
      </c>
      <c r="B661" t="s">
        <v>532</v>
      </c>
      <c r="C661" t="s">
        <v>274</v>
      </c>
      <c r="D661" t="s">
        <v>1060</v>
      </c>
      <c r="E661">
        <v>25</v>
      </c>
      <c r="F661">
        <v>8329</v>
      </c>
      <c r="G661">
        <v>100.37</v>
      </c>
      <c r="H661">
        <v>1</v>
      </c>
      <c r="I661">
        <v>5</v>
      </c>
      <c r="J661">
        <v>2</v>
      </c>
      <c r="K661" cm="1">
        <f t="array" ref="K661">IF(COUNTA(_xlfn.UNIQUE(_xlfn._xlws.FILTER($C$2:$C$1001,$B$2:$B$1001=B661)))=1,1,0)</f>
        <v>0</v>
      </c>
    </row>
    <row r="662" spans="1:11" x14ac:dyDescent="0.2">
      <c r="A662" t="s">
        <v>690</v>
      </c>
      <c r="B662" t="s">
        <v>530</v>
      </c>
      <c r="C662" t="s">
        <v>527</v>
      </c>
      <c r="D662" t="s">
        <v>1057</v>
      </c>
      <c r="E662">
        <v>64</v>
      </c>
      <c r="F662">
        <v>2861</v>
      </c>
      <c r="G662">
        <v>81.03</v>
      </c>
      <c r="H662">
        <v>2</v>
      </c>
      <c r="I662">
        <v>5</v>
      </c>
      <c r="J662">
        <v>2</v>
      </c>
      <c r="K662" cm="1">
        <f t="array" ref="K662">IF(COUNTA(_xlfn.UNIQUE(_xlfn._xlws.FILTER($C$2:$C$1001,$B$2:$B$1001=B662)))=1,1,0)</f>
        <v>0</v>
      </c>
    </row>
    <row r="663" spans="1:11" x14ac:dyDescent="0.2">
      <c r="A663" t="s">
        <v>691</v>
      </c>
      <c r="B663" t="s">
        <v>530</v>
      </c>
      <c r="C663" t="s">
        <v>18</v>
      </c>
      <c r="D663" t="s">
        <v>1061</v>
      </c>
      <c r="E663">
        <v>32</v>
      </c>
      <c r="F663">
        <v>6398</v>
      </c>
      <c r="G663">
        <v>72.05</v>
      </c>
      <c r="H663">
        <v>2</v>
      </c>
      <c r="I663">
        <v>5</v>
      </c>
      <c r="J663">
        <v>1</v>
      </c>
      <c r="K663" cm="1">
        <f t="array" ref="K663">IF(COUNTA(_xlfn.UNIQUE(_xlfn._xlws.FILTER($C$2:$C$1001,$B$2:$B$1001=B663)))=1,1,0)</f>
        <v>0</v>
      </c>
    </row>
    <row r="664" spans="1:11" x14ac:dyDescent="0.2">
      <c r="A664" t="s">
        <v>692</v>
      </c>
      <c r="B664" t="s">
        <v>534</v>
      </c>
      <c r="C664" t="s">
        <v>527</v>
      </c>
      <c r="D664" t="s">
        <v>1066</v>
      </c>
      <c r="E664">
        <v>86</v>
      </c>
      <c r="F664">
        <v>9895</v>
      </c>
      <c r="G664">
        <v>67.91</v>
      </c>
      <c r="H664">
        <v>1</v>
      </c>
      <c r="I664">
        <v>5</v>
      </c>
      <c r="J664">
        <v>1</v>
      </c>
      <c r="K664" cm="1">
        <f t="array" ref="K664">IF(COUNTA(_xlfn.UNIQUE(_xlfn._xlws.FILTER($C$2:$C$1001,$B$2:$B$1001=B664)))=1,1,0)</f>
        <v>0</v>
      </c>
    </row>
    <row r="665" spans="1:11" x14ac:dyDescent="0.2">
      <c r="A665" t="s">
        <v>693</v>
      </c>
      <c r="B665" t="s">
        <v>526</v>
      </c>
      <c r="C665" t="s">
        <v>18</v>
      </c>
      <c r="D665" t="s">
        <v>1067</v>
      </c>
      <c r="E665">
        <v>40</v>
      </c>
      <c r="F665">
        <v>9092</v>
      </c>
      <c r="G665">
        <v>97.77</v>
      </c>
      <c r="H665">
        <v>3</v>
      </c>
      <c r="I665">
        <v>3</v>
      </c>
      <c r="J665">
        <v>2</v>
      </c>
      <c r="K665" cm="1">
        <f t="array" ref="K665">IF(COUNTA(_xlfn.UNIQUE(_xlfn._xlws.FILTER($C$2:$C$1001,$B$2:$B$1001=B665)))=1,1,0)</f>
        <v>0</v>
      </c>
    </row>
    <row r="666" spans="1:11" x14ac:dyDescent="0.2">
      <c r="A666" t="s">
        <v>694</v>
      </c>
      <c r="B666" t="s">
        <v>534</v>
      </c>
      <c r="C666" t="s">
        <v>18</v>
      </c>
      <c r="D666" t="s">
        <v>1062</v>
      </c>
      <c r="E666">
        <v>7</v>
      </c>
      <c r="F666">
        <v>8481</v>
      </c>
      <c r="G666">
        <v>141.76</v>
      </c>
      <c r="H666">
        <v>2</v>
      </c>
      <c r="I666">
        <v>3</v>
      </c>
      <c r="J666">
        <v>2</v>
      </c>
      <c r="K666" cm="1">
        <f t="array" ref="K666">IF(COUNTA(_xlfn.UNIQUE(_xlfn._xlws.FILTER($C$2:$C$1001,$B$2:$B$1001=B666)))=1,1,0)</f>
        <v>0</v>
      </c>
    </row>
    <row r="667" spans="1:11" x14ac:dyDescent="0.2">
      <c r="A667" t="s">
        <v>695</v>
      </c>
      <c r="B667" t="s">
        <v>534</v>
      </c>
      <c r="C667" t="s">
        <v>274</v>
      </c>
      <c r="D667" t="s">
        <v>1059</v>
      </c>
      <c r="E667">
        <v>66</v>
      </c>
      <c r="F667">
        <v>4174</v>
      </c>
      <c r="G667">
        <v>113.56</v>
      </c>
      <c r="H667">
        <v>2</v>
      </c>
      <c r="I667">
        <v>4</v>
      </c>
      <c r="J667">
        <v>2</v>
      </c>
      <c r="K667" cm="1">
        <f t="array" ref="K667">IF(COUNTA(_xlfn.UNIQUE(_xlfn._xlws.FILTER($C$2:$C$1001,$B$2:$B$1001=B667)))=1,1,0)</f>
        <v>0</v>
      </c>
    </row>
    <row r="668" spans="1:11" x14ac:dyDescent="0.2">
      <c r="A668" t="s">
        <v>696</v>
      </c>
      <c r="B668" t="s">
        <v>534</v>
      </c>
      <c r="C668" t="s">
        <v>527</v>
      </c>
      <c r="D668" t="s">
        <v>1066</v>
      </c>
      <c r="E668">
        <v>33</v>
      </c>
      <c r="F668">
        <v>5078</v>
      </c>
      <c r="G668">
        <v>146.77000000000001</v>
      </c>
      <c r="H668">
        <v>2</v>
      </c>
      <c r="I668">
        <v>5</v>
      </c>
      <c r="J668">
        <v>2</v>
      </c>
      <c r="K668" cm="1">
        <f t="array" ref="K668">IF(COUNTA(_xlfn.UNIQUE(_xlfn._xlws.FILTER($C$2:$C$1001,$B$2:$B$1001=B668)))=1,1,0)</f>
        <v>0</v>
      </c>
    </row>
    <row r="669" spans="1:11" x14ac:dyDescent="0.2">
      <c r="A669" t="s">
        <v>697</v>
      </c>
      <c r="B669" t="s">
        <v>532</v>
      </c>
      <c r="C669" t="s">
        <v>274</v>
      </c>
      <c r="D669" t="s">
        <v>1060</v>
      </c>
      <c r="E669">
        <v>21</v>
      </c>
      <c r="F669">
        <v>5593</v>
      </c>
      <c r="G669">
        <v>96.9</v>
      </c>
      <c r="H669">
        <v>2</v>
      </c>
      <c r="I669">
        <v>4</v>
      </c>
      <c r="J669">
        <v>2</v>
      </c>
      <c r="K669" cm="1">
        <f t="array" ref="K669">IF(COUNTA(_xlfn.UNIQUE(_xlfn._xlws.FILTER($C$2:$C$1001,$B$2:$B$1001=B669)))=1,1,0)</f>
        <v>0</v>
      </c>
    </row>
    <row r="670" spans="1:11" x14ac:dyDescent="0.2">
      <c r="A670" t="s">
        <v>698</v>
      </c>
      <c r="B670" t="s">
        <v>534</v>
      </c>
      <c r="C670" t="s">
        <v>527</v>
      </c>
      <c r="D670" t="s">
        <v>1066</v>
      </c>
      <c r="E670">
        <v>44</v>
      </c>
      <c r="F670">
        <v>1992</v>
      </c>
      <c r="G670">
        <v>52.53</v>
      </c>
      <c r="H670">
        <v>2</v>
      </c>
      <c r="I670">
        <v>4</v>
      </c>
      <c r="J670">
        <v>1</v>
      </c>
      <c r="K670" cm="1">
        <f t="array" ref="K670">IF(COUNTA(_xlfn.UNIQUE(_xlfn._xlws.FILTER($C$2:$C$1001,$B$2:$B$1001=B670)))=1,1,0)</f>
        <v>0</v>
      </c>
    </row>
    <row r="671" spans="1:11" x14ac:dyDescent="0.2">
      <c r="A671" t="s">
        <v>699</v>
      </c>
      <c r="B671" t="s">
        <v>534</v>
      </c>
      <c r="C671" t="s">
        <v>527</v>
      </c>
      <c r="D671" t="s">
        <v>1066</v>
      </c>
      <c r="E671">
        <v>68</v>
      </c>
      <c r="F671">
        <v>5704</v>
      </c>
      <c r="G671">
        <v>64.72</v>
      </c>
      <c r="H671">
        <v>1</v>
      </c>
      <c r="I671">
        <v>4</v>
      </c>
      <c r="J671">
        <v>1</v>
      </c>
      <c r="K671" cm="1">
        <f t="array" ref="K671">IF(COUNTA(_xlfn.UNIQUE(_xlfn._xlws.FILTER($C$2:$C$1001,$B$2:$B$1001=B671)))=1,1,0)</f>
        <v>0</v>
      </c>
    </row>
    <row r="672" spans="1:11" x14ac:dyDescent="0.2">
      <c r="A672" t="s">
        <v>700</v>
      </c>
      <c r="B672" t="s">
        <v>532</v>
      </c>
      <c r="C672" t="s">
        <v>274</v>
      </c>
      <c r="D672" t="s">
        <v>1060</v>
      </c>
      <c r="E672">
        <v>27</v>
      </c>
      <c r="F672">
        <v>5212</v>
      </c>
      <c r="G672">
        <v>142.61000000000001</v>
      </c>
      <c r="H672">
        <v>2</v>
      </c>
      <c r="I672">
        <v>4</v>
      </c>
      <c r="J672">
        <v>2</v>
      </c>
      <c r="K672" cm="1">
        <f t="array" ref="K672">IF(COUNTA(_xlfn.UNIQUE(_xlfn._xlws.FILTER($C$2:$C$1001,$B$2:$B$1001=B672)))=1,1,0)</f>
        <v>0</v>
      </c>
    </row>
    <row r="673" spans="1:11" x14ac:dyDescent="0.2">
      <c r="A673" t="s">
        <v>701</v>
      </c>
      <c r="B673" t="s">
        <v>530</v>
      </c>
      <c r="C673" t="s">
        <v>527</v>
      </c>
      <c r="D673" t="s">
        <v>1057</v>
      </c>
      <c r="E673">
        <v>23</v>
      </c>
      <c r="F673">
        <v>9044</v>
      </c>
      <c r="G673">
        <v>105.4</v>
      </c>
      <c r="H673">
        <v>1</v>
      </c>
      <c r="I673">
        <v>4</v>
      </c>
      <c r="J673">
        <v>1</v>
      </c>
      <c r="K673" cm="1">
        <f t="array" ref="K673">IF(COUNTA(_xlfn.UNIQUE(_xlfn._xlws.FILTER($C$2:$C$1001,$B$2:$B$1001=B673)))=1,1,0)</f>
        <v>0</v>
      </c>
    </row>
    <row r="674" spans="1:11" x14ac:dyDescent="0.2">
      <c r="A674" t="s">
        <v>702</v>
      </c>
      <c r="B674" t="s">
        <v>534</v>
      </c>
      <c r="C674" t="s">
        <v>18</v>
      </c>
      <c r="D674" t="s">
        <v>1062</v>
      </c>
      <c r="E674">
        <v>83</v>
      </c>
      <c r="F674">
        <v>8505</v>
      </c>
      <c r="G674">
        <v>61.49</v>
      </c>
      <c r="H674">
        <v>3</v>
      </c>
      <c r="I674">
        <v>3</v>
      </c>
      <c r="J674">
        <v>1</v>
      </c>
      <c r="K674" cm="1">
        <f t="array" ref="K674">IF(COUNTA(_xlfn.UNIQUE(_xlfn._xlws.FILTER($C$2:$C$1001,$B$2:$B$1001=B674)))=1,1,0)</f>
        <v>0</v>
      </c>
    </row>
    <row r="675" spans="1:11" x14ac:dyDescent="0.2">
      <c r="A675" t="s">
        <v>703</v>
      </c>
      <c r="B675" t="s">
        <v>526</v>
      </c>
      <c r="C675" t="s">
        <v>527</v>
      </c>
      <c r="D675" t="s">
        <v>1056</v>
      </c>
      <c r="E675">
        <v>52</v>
      </c>
      <c r="F675">
        <v>5626</v>
      </c>
      <c r="G675">
        <v>71.66</v>
      </c>
      <c r="H675">
        <v>1</v>
      </c>
      <c r="I675">
        <v>4</v>
      </c>
      <c r="J675">
        <v>2</v>
      </c>
      <c r="K675" cm="1">
        <f t="array" ref="K675">IF(COUNTA(_xlfn.UNIQUE(_xlfn._xlws.FILTER($C$2:$C$1001,$B$2:$B$1001=B675)))=1,1,0)</f>
        <v>0</v>
      </c>
    </row>
    <row r="676" spans="1:11" x14ac:dyDescent="0.2">
      <c r="A676" t="s">
        <v>704</v>
      </c>
      <c r="B676" t="s">
        <v>532</v>
      </c>
      <c r="C676" t="s">
        <v>527</v>
      </c>
      <c r="D676" t="s">
        <v>1064</v>
      </c>
      <c r="E676">
        <v>55</v>
      </c>
      <c r="F676">
        <v>1786</v>
      </c>
      <c r="G676">
        <v>132.94</v>
      </c>
      <c r="H676">
        <v>2</v>
      </c>
      <c r="I676">
        <v>5</v>
      </c>
      <c r="J676">
        <v>1</v>
      </c>
      <c r="K676" cm="1">
        <f t="array" ref="K676">IF(COUNTA(_xlfn.UNIQUE(_xlfn._xlws.FILTER($C$2:$C$1001,$B$2:$B$1001=B676)))=1,1,0)</f>
        <v>0</v>
      </c>
    </row>
    <row r="677" spans="1:11" x14ac:dyDescent="0.2">
      <c r="A677" t="s">
        <v>705</v>
      </c>
      <c r="B677" t="s">
        <v>526</v>
      </c>
      <c r="C677" t="s">
        <v>274</v>
      </c>
      <c r="D677" t="s">
        <v>1063</v>
      </c>
      <c r="E677">
        <v>60</v>
      </c>
      <c r="F677">
        <v>8011</v>
      </c>
      <c r="G677">
        <v>148.58000000000001</v>
      </c>
      <c r="H677">
        <v>2</v>
      </c>
      <c r="I677">
        <v>3</v>
      </c>
      <c r="J677">
        <v>1</v>
      </c>
      <c r="K677" cm="1">
        <f t="array" ref="K677">IF(COUNTA(_xlfn.UNIQUE(_xlfn._xlws.FILTER($C$2:$C$1001,$B$2:$B$1001=B677)))=1,1,0)</f>
        <v>0</v>
      </c>
    </row>
    <row r="678" spans="1:11" x14ac:dyDescent="0.2">
      <c r="A678" t="s">
        <v>706</v>
      </c>
      <c r="B678" t="s">
        <v>530</v>
      </c>
      <c r="C678" t="s">
        <v>527</v>
      </c>
      <c r="D678" t="s">
        <v>1057</v>
      </c>
      <c r="E678">
        <v>22</v>
      </c>
      <c r="F678">
        <v>3511</v>
      </c>
      <c r="G678">
        <v>52</v>
      </c>
      <c r="H678">
        <v>2</v>
      </c>
      <c r="I678">
        <v>4</v>
      </c>
      <c r="J678">
        <v>2</v>
      </c>
      <c r="K678" cm="1">
        <f t="array" ref="K678">IF(COUNTA(_xlfn.UNIQUE(_xlfn._xlws.FILTER($C$2:$C$1001,$B$2:$B$1001=B678)))=1,1,0)</f>
        <v>0</v>
      </c>
    </row>
    <row r="679" spans="1:11" x14ac:dyDescent="0.2">
      <c r="A679" t="s">
        <v>707</v>
      </c>
      <c r="B679" t="s">
        <v>532</v>
      </c>
      <c r="C679" t="s">
        <v>527</v>
      </c>
      <c r="D679" t="s">
        <v>1064</v>
      </c>
      <c r="E679">
        <v>51</v>
      </c>
      <c r="F679">
        <v>3713</v>
      </c>
      <c r="G679">
        <v>124.94</v>
      </c>
      <c r="H679">
        <v>2</v>
      </c>
      <c r="I679">
        <v>3</v>
      </c>
      <c r="J679">
        <v>2</v>
      </c>
      <c r="K679" cm="1">
        <f t="array" ref="K679">IF(COUNTA(_xlfn.UNIQUE(_xlfn._xlws.FILTER($C$2:$C$1001,$B$2:$B$1001=B679)))=1,1,0)</f>
        <v>0</v>
      </c>
    </row>
    <row r="680" spans="1:11" x14ac:dyDescent="0.2">
      <c r="A680" t="s">
        <v>708</v>
      </c>
      <c r="B680" t="s">
        <v>532</v>
      </c>
      <c r="C680" t="s">
        <v>274</v>
      </c>
      <c r="D680" t="s">
        <v>1060</v>
      </c>
      <c r="E680">
        <v>50</v>
      </c>
      <c r="F680">
        <v>3506</v>
      </c>
      <c r="G680">
        <v>146.72999999999999</v>
      </c>
      <c r="H680">
        <v>1</v>
      </c>
      <c r="I680">
        <v>4</v>
      </c>
      <c r="J680">
        <v>2</v>
      </c>
      <c r="K680" cm="1">
        <f t="array" ref="K680">IF(COUNTA(_xlfn.UNIQUE(_xlfn._xlws.FILTER($C$2:$C$1001,$B$2:$B$1001=B680)))=1,1,0)</f>
        <v>0</v>
      </c>
    </row>
    <row r="681" spans="1:11" x14ac:dyDescent="0.2">
      <c r="A681" t="s">
        <v>709</v>
      </c>
      <c r="B681" t="s">
        <v>534</v>
      </c>
      <c r="C681" t="s">
        <v>274</v>
      </c>
      <c r="D681" t="s">
        <v>1059</v>
      </c>
      <c r="E681">
        <v>85</v>
      </c>
      <c r="F681">
        <v>8067</v>
      </c>
      <c r="G681">
        <v>75.22</v>
      </c>
      <c r="H681">
        <v>1</v>
      </c>
      <c r="I681">
        <v>4</v>
      </c>
      <c r="J681">
        <v>2</v>
      </c>
      <c r="K681" cm="1">
        <f t="array" ref="K681">IF(COUNTA(_xlfn.UNIQUE(_xlfn._xlws.FILTER($C$2:$C$1001,$B$2:$B$1001=B681)))=1,1,0)</f>
        <v>0</v>
      </c>
    </row>
    <row r="682" spans="1:11" x14ac:dyDescent="0.2">
      <c r="A682" t="s">
        <v>710</v>
      </c>
      <c r="B682" t="s">
        <v>534</v>
      </c>
      <c r="C682" t="s">
        <v>18</v>
      </c>
      <c r="D682" t="s">
        <v>1062</v>
      </c>
      <c r="E682">
        <v>61</v>
      </c>
      <c r="F682">
        <v>6499</v>
      </c>
      <c r="G682">
        <v>133.91</v>
      </c>
      <c r="H682">
        <v>1</v>
      </c>
      <c r="I682">
        <v>5</v>
      </c>
      <c r="J682">
        <v>2</v>
      </c>
      <c r="K682" cm="1">
        <f t="array" ref="K682">IF(COUNTA(_xlfn.UNIQUE(_xlfn._xlws.FILTER($C$2:$C$1001,$B$2:$B$1001=B682)))=1,1,0)</f>
        <v>0</v>
      </c>
    </row>
    <row r="683" spans="1:11" x14ac:dyDescent="0.2">
      <c r="A683" t="s">
        <v>711</v>
      </c>
      <c r="B683" t="s">
        <v>532</v>
      </c>
      <c r="C683" t="s">
        <v>527</v>
      </c>
      <c r="D683" t="s">
        <v>1064</v>
      </c>
      <c r="E683">
        <v>83</v>
      </c>
      <c r="F683">
        <v>9269</v>
      </c>
      <c r="G683">
        <v>135.56</v>
      </c>
      <c r="H683">
        <v>2</v>
      </c>
      <c r="I683">
        <v>5</v>
      </c>
      <c r="J683">
        <v>2</v>
      </c>
      <c r="K683" cm="1">
        <f t="array" ref="K683">IF(COUNTA(_xlfn.UNIQUE(_xlfn._xlws.FILTER($C$2:$C$1001,$B$2:$B$1001=B683)))=1,1,0)</f>
        <v>0</v>
      </c>
    </row>
    <row r="684" spans="1:11" x14ac:dyDescent="0.2">
      <c r="A684" t="s">
        <v>712</v>
      </c>
      <c r="B684" t="s">
        <v>532</v>
      </c>
      <c r="C684" t="s">
        <v>527</v>
      </c>
      <c r="D684" t="s">
        <v>1064</v>
      </c>
      <c r="E684">
        <v>54</v>
      </c>
      <c r="F684">
        <v>5275</v>
      </c>
      <c r="G684">
        <v>60.82</v>
      </c>
      <c r="H684">
        <v>3</v>
      </c>
      <c r="I684">
        <v>5</v>
      </c>
      <c r="J684">
        <v>1</v>
      </c>
      <c r="K684" cm="1">
        <f t="array" ref="K684">IF(COUNTA(_xlfn.UNIQUE(_xlfn._xlws.FILTER($C$2:$C$1001,$B$2:$B$1001=B684)))=1,1,0)</f>
        <v>0</v>
      </c>
    </row>
    <row r="685" spans="1:11" x14ac:dyDescent="0.2">
      <c r="A685" t="s">
        <v>713</v>
      </c>
      <c r="B685" t="s">
        <v>526</v>
      </c>
      <c r="C685" t="s">
        <v>527</v>
      </c>
      <c r="D685" t="s">
        <v>1056</v>
      </c>
      <c r="E685">
        <v>70</v>
      </c>
      <c r="F685">
        <v>7500</v>
      </c>
      <c r="G685">
        <v>136.96</v>
      </c>
      <c r="H685">
        <v>3</v>
      </c>
      <c r="I685">
        <v>5</v>
      </c>
      <c r="J685">
        <v>2</v>
      </c>
      <c r="K685" cm="1">
        <f t="array" ref="K685">IF(COUNTA(_xlfn.UNIQUE(_xlfn._xlws.FILTER($C$2:$C$1001,$B$2:$B$1001=B685)))=1,1,0)</f>
        <v>0</v>
      </c>
    </row>
    <row r="686" spans="1:11" x14ac:dyDescent="0.2">
      <c r="A686" t="s">
        <v>714</v>
      </c>
      <c r="B686" t="s">
        <v>526</v>
      </c>
      <c r="C686" t="s">
        <v>527</v>
      </c>
      <c r="D686" t="s">
        <v>1056</v>
      </c>
      <c r="E686">
        <v>32</v>
      </c>
      <c r="F686">
        <v>4364</v>
      </c>
      <c r="G686">
        <v>120.66</v>
      </c>
      <c r="H686">
        <v>2</v>
      </c>
      <c r="I686">
        <v>3</v>
      </c>
      <c r="J686">
        <v>1</v>
      </c>
      <c r="K686" cm="1">
        <f t="array" ref="K686">IF(COUNTA(_xlfn.UNIQUE(_xlfn._xlws.FILTER($C$2:$C$1001,$B$2:$B$1001=B686)))=1,1,0)</f>
        <v>0</v>
      </c>
    </row>
    <row r="687" spans="1:11" x14ac:dyDescent="0.2">
      <c r="A687" t="s">
        <v>715</v>
      </c>
      <c r="B687" t="s">
        <v>534</v>
      </c>
      <c r="C687" t="s">
        <v>527</v>
      </c>
      <c r="D687" t="s">
        <v>1066</v>
      </c>
      <c r="E687">
        <v>20</v>
      </c>
      <c r="F687">
        <v>5517</v>
      </c>
      <c r="G687">
        <v>133.65</v>
      </c>
      <c r="H687">
        <v>3</v>
      </c>
      <c r="I687">
        <v>5</v>
      </c>
      <c r="J687">
        <v>2</v>
      </c>
      <c r="K687" cm="1">
        <f t="array" ref="K687">IF(COUNTA(_xlfn.UNIQUE(_xlfn._xlws.FILTER($C$2:$C$1001,$B$2:$B$1001=B687)))=1,1,0)</f>
        <v>0</v>
      </c>
    </row>
    <row r="688" spans="1:11" x14ac:dyDescent="0.2">
      <c r="A688" t="s">
        <v>716</v>
      </c>
      <c r="B688" t="s">
        <v>526</v>
      </c>
      <c r="C688" t="s">
        <v>527</v>
      </c>
      <c r="D688" t="s">
        <v>1056</v>
      </c>
      <c r="E688">
        <v>23</v>
      </c>
      <c r="F688">
        <v>1363</v>
      </c>
      <c r="G688">
        <v>143.02000000000001</v>
      </c>
      <c r="H688">
        <v>2</v>
      </c>
      <c r="I688">
        <v>5</v>
      </c>
      <c r="J688">
        <v>1</v>
      </c>
      <c r="K688" cm="1">
        <f t="array" ref="K688">IF(COUNTA(_xlfn.UNIQUE(_xlfn._xlws.FILTER($C$2:$C$1001,$B$2:$B$1001=B688)))=1,1,0)</f>
        <v>0</v>
      </c>
    </row>
    <row r="689" spans="1:11" x14ac:dyDescent="0.2">
      <c r="A689" t="s">
        <v>717</v>
      </c>
      <c r="B689" t="s">
        <v>534</v>
      </c>
      <c r="C689" t="s">
        <v>274</v>
      </c>
      <c r="D689" t="s">
        <v>1059</v>
      </c>
      <c r="E689">
        <v>10</v>
      </c>
      <c r="F689">
        <v>4840</v>
      </c>
      <c r="G689">
        <v>131.16</v>
      </c>
      <c r="H689">
        <v>1</v>
      </c>
      <c r="I689">
        <v>5</v>
      </c>
      <c r="J689">
        <v>2</v>
      </c>
      <c r="K689" cm="1">
        <f t="array" ref="K689">IF(COUNTA(_xlfn.UNIQUE(_xlfn._xlws.FILTER($C$2:$C$1001,$B$2:$B$1001=B689)))=1,1,0)</f>
        <v>0</v>
      </c>
    </row>
    <row r="690" spans="1:11" x14ac:dyDescent="0.2">
      <c r="A690" t="s">
        <v>718</v>
      </c>
      <c r="B690" t="s">
        <v>530</v>
      </c>
      <c r="C690" t="s">
        <v>527</v>
      </c>
      <c r="D690" t="s">
        <v>1057</v>
      </c>
      <c r="E690">
        <v>69</v>
      </c>
      <c r="F690">
        <v>6200</v>
      </c>
      <c r="G690">
        <v>142.26</v>
      </c>
      <c r="H690">
        <v>2</v>
      </c>
      <c r="I690">
        <v>5</v>
      </c>
      <c r="J690">
        <v>2</v>
      </c>
      <c r="K690" cm="1">
        <f t="array" ref="K690">IF(COUNTA(_xlfn.UNIQUE(_xlfn._xlws.FILTER($C$2:$C$1001,$B$2:$B$1001=B690)))=1,1,0)</f>
        <v>0</v>
      </c>
    </row>
    <row r="691" spans="1:11" x14ac:dyDescent="0.2">
      <c r="A691" t="s">
        <v>719</v>
      </c>
      <c r="B691" t="s">
        <v>534</v>
      </c>
      <c r="C691" t="s">
        <v>527</v>
      </c>
      <c r="D691" t="s">
        <v>1066</v>
      </c>
      <c r="E691">
        <v>14</v>
      </c>
      <c r="F691">
        <v>3567</v>
      </c>
      <c r="G691">
        <v>98.98</v>
      </c>
      <c r="H691">
        <v>1</v>
      </c>
      <c r="I691">
        <v>4</v>
      </c>
      <c r="J691">
        <v>2</v>
      </c>
      <c r="K691" cm="1">
        <f t="array" ref="K691">IF(COUNTA(_xlfn.UNIQUE(_xlfn._xlws.FILTER($C$2:$C$1001,$B$2:$B$1001=B691)))=1,1,0)</f>
        <v>0</v>
      </c>
    </row>
    <row r="692" spans="1:11" x14ac:dyDescent="0.2">
      <c r="A692" t="s">
        <v>720</v>
      </c>
      <c r="B692" t="s">
        <v>532</v>
      </c>
      <c r="C692" t="s">
        <v>527</v>
      </c>
      <c r="D692" t="s">
        <v>1064</v>
      </c>
      <c r="E692">
        <v>56</v>
      </c>
      <c r="F692">
        <v>6645</v>
      </c>
      <c r="G692">
        <v>93.62</v>
      </c>
      <c r="H692">
        <v>1</v>
      </c>
      <c r="I692">
        <v>4</v>
      </c>
      <c r="J692">
        <v>2</v>
      </c>
      <c r="K692" cm="1">
        <f t="array" ref="K692">IF(COUNTA(_xlfn.UNIQUE(_xlfn._xlws.FILTER($C$2:$C$1001,$B$2:$B$1001=B692)))=1,1,0)</f>
        <v>0</v>
      </c>
    </row>
    <row r="693" spans="1:11" x14ac:dyDescent="0.2">
      <c r="A693" t="s">
        <v>721</v>
      </c>
      <c r="B693" t="s">
        <v>530</v>
      </c>
      <c r="C693" t="s">
        <v>274</v>
      </c>
      <c r="D693" t="s">
        <v>1065</v>
      </c>
      <c r="E693">
        <v>68</v>
      </c>
      <c r="F693">
        <v>6413</v>
      </c>
      <c r="G693">
        <v>142.26</v>
      </c>
      <c r="H693">
        <v>1</v>
      </c>
      <c r="I693">
        <v>5</v>
      </c>
      <c r="J693">
        <v>2</v>
      </c>
      <c r="K693" cm="1">
        <f t="array" ref="K693">IF(COUNTA(_xlfn.UNIQUE(_xlfn._xlws.FILTER($C$2:$C$1001,$B$2:$B$1001=B693)))=1,1,0)</f>
        <v>0</v>
      </c>
    </row>
    <row r="694" spans="1:11" x14ac:dyDescent="0.2">
      <c r="A694" t="s">
        <v>722</v>
      </c>
      <c r="B694" t="s">
        <v>530</v>
      </c>
      <c r="C694" t="s">
        <v>527</v>
      </c>
      <c r="D694" t="s">
        <v>1057</v>
      </c>
      <c r="E694">
        <v>63</v>
      </c>
      <c r="F694">
        <v>6682</v>
      </c>
      <c r="G694">
        <v>112.35</v>
      </c>
      <c r="H694">
        <v>2</v>
      </c>
      <c r="I694">
        <v>3</v>
      </c>
      <c r="J694">
        <v>2</v>
      </c>
      <c r="K694" cm="1">
        <f t="array" ref="K694">IF(COUNTA(_xlfn.UNIQUE(_xlfn._xlws.FILTER($C$2:$C$1001,$B$2:$B$1001=B694)))=1,1,0)</f>
        <v>0</v>
      </c>
    </row>
    <row r="695" spans="1:11" x14ac:dyDescent="0.2">
      <c r="A695" t="s">
        <v>723</v>
      </c>
      <c r="B695" t="s">
        <v>530</v>
      </c>
      <c r="C695" t="s">
        <v>274</v>
      </c>
      <c r="D695" t="s">
        <v>1065</v>
      </c>
      <c r="E695">
        <v>58</v>
      </c>
      <c r="F695">
        <v>9119</v>
      </c>
      <c r="G695">
        <v>97.54</v>
      </c>
      <c r="H695">
        <v>2</v>
      </c>
      <c r="I695">
        <v>5</v>
      </c>
      <c r="J695">
        <v>2</v>
      </c>
      <c r="K695" cm="1">
        <f t="array" ref="K695">IF(COUNTA(_xlfn.UNIQUE(_xlfn._xlws.FILTER($C$2:$C$1001,$B$2:$B$1001=B695)))=1,1,0)</f>
        <v>0</v>
      </c>
    </row>
    <row r="696" spans="1:11" x14ac:dyDescent="0.2">
      <c r="A696" t="s">
        <v>724</v>
      </c>
      <c r="B696" t="s">
        <v>530</v>
      </c>
      <c r="C696" t="s">
        <v>274</v>
      </c>
      <c r="D696" t="s">
        <v>1065</v>
      </c>
      <c r="E696">
        <v>37</v>
      </c>
      <c r="F696">
        <v>5938</v>
      </c>
      <c r="G696">
        <v>107.68</v>
      </c>
      <c r="H696">
        <v>3</v>
      </c>
      <c r="I696">
        <v>4</v>
      </c>
      <c r="J696">
        <v>1</v>
      </c>
      <c r="K696" cm="1">
        <f t="array" ref="K696">IF(COUNTA(_xlfn.UNIQUE(_xlfn._xlws.FILTER($C$2:$C$1001,$B$2:$B$1001=B696)))=1,1,0)</f>
        <v>0</v>
      </c>
    </row>
    <row r="697" spans="1:11" x14ac:dyDescent="0.2">
      <c r="A697" t="s">
        <v>725</v>
      </c>
      <c r="B697" t="s">
        <v>532</v>
      </c>
      <c r="C697" t="s">
        <v>527</v>
      </c>
      <c r="D697" t="s">
        <v>1064</v>
      </c>
      <c r="E697">
        <v>57</v>
      </c>
      <c r="F697">
        <v>7401</v>
      </c>
      <c r="G697">
        <v>144.38</v>
      </c>
      <c r="H697">
        <v>1</v>
      </c>
      <c r="I697">
        <v>5</v>
      </c>
      <c r="J697">
        <v>2</v>
      </c>
      <c r="K697" cm="1">
        <f t="array" ref="K697">IF(COUNTA(_xlfn.UNIQUE(_xlfn._xlws.FILTER($C$2:$C$1001,$B$2:$B$1001=B697)))=1,1,0)</f>
        <v>0</v>
      </c>
    </row>
    <row r="698" spans="1:11" x14ac:dyDescent="0.2">
      <c r="A698" t="s">
        <v>726</v>
      </c>
      <c r="B698" t="s">
        <v>530</v>
      </c>
      <c r="C698" t="s">
        <v>274</v>
      </c>
      <c r="D698" t="s">
        <v>1065</v>
      </c>
      <c r="E698">
        <v>58</v>
      </c>
      <c r="F698">
        <v>8933</v>
      </c>
      <c r="G698">
        <v>115.38</v>
      </c>
      <c r="H698">
        <v>1</v>
      </c>
      <c r="I698">
        <v>5</v>
      </c>
      <c r="J698">
        <v>2</v>
      </c>
      <c r="K698" cm="1">
        <f t="array" ref="K698">IF(COUNTA(_xlfn.UNIQUE(_xlfn._xlws.FILTER($C$2:$C$1001,$B$2:$B$1001=B698)))=1,1,0)</f>
        <v>0</v>
      </c>
    </row>
    <row r="699" spans="1:11" x14ac:dyDescent="0.2">
      <c r="A699" t="s">
        <v>727</v>
      </c>
      <c r="B699" t="s">
        <v>534</v>
      </c>
      <c r="C699" t="s">
        <v>527</v>
      </c>
      <c r="D699" t="s">
        <v>1066</v>
      </c>
      <c r="E699">
        <v>88</v>
      </c>
      <c r="F699">
        <v>4235</v>
      </c>
      <c r="G699">
        <v>147.01</v>
      </c>
      <c r="H699">
        <v>1</v>
      </c>
      <c r="I699">
        <v>5</v>
      </c>
      <c r="J699">
        <v>1</v>
      </c>
      <c r="K699" cm="1">
        <f t="array" ref="K699">IF(COUNTA(_xlfn.UNIQUE(_xlfn._xlws.FILTER($C$2:$C$1001,$B$2:$B$1001=B699)))=1,1,0)</f>
        <v>0</v>
      </c>
    </row>
    <row r="700" spans="1:11" x14ac:dyDescent="0.2">
      <c r="A700" t="s">
        <v>728</v>
      </c>
      <c r="B700" t="s">
        <v>534</v>
      </c>
      <c r="C700" t="s">
        <v>274</v>
      </c>
      <c r="D700" t="s">
        <v>1059</v>
      </c>
      <c r="E700">
        <v>14</v>
      </c>
      <c r="F700">
        <v>4381</v>
      </c>
      <c r="G700">
        <v>70.150000000000006</v>
      </c>
      <c r="H700">
        <v>1</v>
      </c>
      <c r="I700">
        <v>3</v>
      </c>
      <c r="J700">
        <v>2</v>
      </c>
      <c r="K700" cm="1">
        <f t="array" ref="K700">IF(COUNTA(_xlfn.UNIQUE(_xlfn._xlws.FILTER($C$2:$C$1001,$B$2:$B$1001=B700)))=1,1,0)</f>
        <v>0</v>
      </c>
    </row>
    <row r="701" spans="1:11" x14ac:dyDescent="0.2">
      <c r="A701" t="s">
        <v>729</v>
      </c>
      <c r="B701" t="s">
        <v>530</v>
      </c>
      <c r="C701" t="s">
        <v>527</v>
      </c>
      <c r="D701" t="s">
        <v>1057</v>
      </c>
      <c r="E701">
        <v>64</v>
      </c>
      <c r="F701">
        <v>6533</v>
      </c>
      <c r="G701">
        <v>111.04</v>
      </c>
      <c r="H701">
        <v>2</v>
      </c>
      <c r="I701">
        <v>5</v>
      </c>
      <c r="J701">
        <v>2</v>
      </c>
      <c r="K701" cm="1">
        <f t="array" ref="K701">IF(COUNTA(_xlfn.UNIQUE(_xlfn._xlws.FILTER($C$2:$C$1001,$B$2:$B$1001=B701)))=1,1,0)</f>
        <v>0</v>
      </c>
    </row>
    <row r="702" spans="1:11" x14ac:dyDescent="0.2">
      <c r="A702" t="s">
        <v>730</v>
      </c>
      <c r="B702" t="s">
        <v>530</v>
      </c>
      <c r="C702" t="s">
        <v>527</v>
      </c>
      <c r="D702" t="s">
        <v>1057</v>
      </c>
      <c r="E702">
        <v>13</v>
      </c>
      <c r="F702">
        <v>2131</v>
      </c>
      <c r="G702">
        <v>140.62</v>
      </c>
      <c r="H702">
        <v>1</v>
      </c>
      <c r="I702">
        <v>5</v>
      </c>
      <c r="J702">
        <v>2</v>
      </c>
      <c r="K702" cm="1">
        <f t="array" ref="K702">IF(COUNTA(_xlfn.UNIQUE(_xlfn._xlws.FILTER($C$2:$C$1001,$B$2:$B$1001=B702)))=1,1,0)</f>
        <v>0</v>
      </c>
    </row>
    <row r="703" spans="1:11" x14ac:dyDescent="0.2">
      <c r="A703" t="s">
        <v>731</v>
      </c>
      <c r="B703" t="s">
        <v>530</v>
      </c>
      <c r="C703" t="s">
        <v>527</v>
      </c>
      <c r="D703" t="s">
        <v>1057</v>
      </c>
      <c r="E703">
        <v>19</v>
      </c>
      <c r="F703">
        <v>8318</v>
      </c>
      <c r="G703">
        <v>84.59</v>
      </c>
      <c r="H703">
        <v>3</v>
      </c>
      <c r="I703">
        <v>4</v>
      </c>
      <c r="J703">
        <v>2</v>
      </c>
      <c r="K703" cm="1">
        <f t="array" ref="K703">IF(COUNTA(_xlfn.UNIQUE(_xlfn._xlws.FILTER($C$2:$C$1001,$B$2:$B$1001=B703)))=1,1,0)</f>
        <v>0</v>
      </c>
    </row>
    <row r="704" spans="1:11" x14ac:dyDescent="0.2">
      <c r="A704" t="s">
        <v>732</v>
      </c>
      <c r="B704" t="s">
        <v>534</v>
      </c>
      <c r="C704" t="s">
        <v>18</v>
      </c>
      <c r="D704" t="s">
        <v>1062</v>
      </c>
      <c r="E704">
        <v>13</v>
      </c>
      <c r="F704">
        <v>6288</v>
      </c>
      <c r="G704">
        <v>121.92</v>
      </c>
      <c r="H704">
        <v>1</v>
      </c>
      <c r="I704">
        <v>5</v>
      </c>
      <c r="J704">
        <v>1</v>
      </c>
      <c r="K704" cm="1">
        <f t="array" ref="K704">IF(COUNTA(_xlfn.UNIQUE(_xlfn._xlws.FILTER($C$2:$C$1001,$B$2:$B$1001=B704)))=1,1,0)</f>
        <v>0</v>
      </c>
    </row>
    <row r="705" spans="1:11" x14ac:dyDescent="0.2">
      <c r="A705" t="s">
        <v>733</v>
      </c>
      <c r="B705" t="s">
        <v>532</v>
      </c>
      <c r="C705" t="s">
        <v>274</v>
      </c>
      <c r="D705" t="s">
        <v>1060</v>
      </c>
      <c r="E705">
        <v>32</v>
      </c>
      <c r="F705">
        <v>6262</v>
      </c>
      <c r="G705">
        <v>79.8</v>
      </c>
      <c r="H705">
        <v>1</v>
      </c>
      <c r="I705">
        <v>5</v>
      </c>
      <c r="J705">
        <v>2</v>
      </c>
      <c r="K705" cm="1">
        <f t="array" ref="K705">IF(COUNTA(_xlfn.UNIQUE(_xlfn._xlws.FILTER($C$2:$C$1001,$B$2:$B$1001=B705)))=1,1,0)</f>
        <v>0</v>
      </c>
    </row>
    <row r="706" spans="1:11" x14ac:dyDescent="0.2">
      <c r="A706" t="s">
        <v>734</v>
      </c>
      <c r="B706" t="s">
        <v>534</v>
      </c>
      <c r="C706" t="s">
        <v>18</v>
      </c>
      <c r="D706" t="s">
        <v>1062</v>
      </c>
      <c r="E706">
        <v>29</v>
      </c>
      <c r="F706">
        <v>7639</v>
      </c>
      <c r="G706">
        <v>82.62</v>
      </c>
      <c r="H706">
        <v>2</v>
      </c>
      <c r="I706">
        <v>3</v>
      </c>
      <c r="J706">
        <v>1</v>
      </c>
      <c r="K706" cm="1">
        <f t="array" ref="K706">IF(COUNTA(_xlfn.UNIQUE(_xlfn._xlws.FILTER($C$2:$C$1001,$B$2:$B$1001=B706)))=1,1,0)</f>
        <v>0</v>
      </c>
    </row>
    <row r="707" spans="1:11" x14ac:dyDescent="0.2">
      <c r="A707" t="s">
        <v>735</v>
      </c>
      <c r="B707" t="s">
        <v>526</v>
      </c>
      <c r="C707" t="s">
        <v>274</v>
      </c>
      <c r="D707" t="s">
        <v>1063</v>
      </c>
      <c r="E707">
        <v>15</v>
      </c>
      <c r="F707">
        <v>5711</v>
      </c>
      <c r="G707">
        <v>126.91</v>
      </c>
      <c r="H707">
        <v>1</v>
      </c>
      <c r="I707">
        <v>5</v>
      </c>
      <c r="J707">
        <v>2</v>
      </c>
      <c r="K707" cm="1">
        <f t="array" ref="K707">IF(COUNTA(_xlfn.UNIQUE(_xlfn._xlws.FILTER($C$2:$C$1001,$B$2:$B$1001=B707)))=1,1,0)</f>
        <v>0</v>
      </c>
    </row>
    <row r="708" spans="1:11" x14ac:dyDescent="0.2">
      <c r="A708" t="s">
        <v>736</v>
      </c>
      <c r="B708" t="s">
        <v>532</v>
      </c>
      <c r="C708" t="s">
        <v>274</v>
      </c>
      <c r="D708" t="s">
        <v>1060</v>
      </c>
      <c r="E708">
        <v>83</v>
      </c>
      <c r="F708">
        <v>5379</v>
      </c>
      <c r="G708">
        <v>113.46</v>
      </c>
      <c r="H708">
        <v>1</v>
      </c>
      <c r="I708">
        <v>5</v>
      </c>
      <c r="J708">
        <v>2</v>
      </c>
      <c r="K708" cm="1">
        <f t="array" ref="K708">IF(COUNTA(_xlfn.UNIQUE(_xlfn._xlws.FILTER($C$2:$C$1001,$B$2:$B$1001=B708)))=1,1,0)</f>
        <v>0</v>
      </c>
    </row>
    <row r="709" spans="1:11" x14ac:dyDescent="0.2">
      <c r="A709" t="s">
        <v>737</v>
      </c>
      <c r="B709" t="s">
        <v>526</v>
      </c>
      <c r="C709" t="s">
        <v>527</v>
      </c>
      <c r="D709" t="s">
        <v>1056</v>
      </c>
      <c r="E709">
        <v>62</v>
      </c>
      <c r="F709">
        <v>3637</v>
      </c>
      <c r="G709">
        <v>117.66</v>
      </c>
      <c r="H709">
        <v>1</v>
      </c>
      <c r="I709">
        <v>5</v>
      </c>
      <c r="J709">
        <v>1</v>
      </c>
      <c r="K709" cm="1">
        <f t="array" ref="K709">IF(COUNTA(_xlfn.UNIQUE(_xlfn._xlws.FILTER($C$2:$C$1001,$B$2:$B$1001=B709)))=1,1,0)</f>
        <v>0</v>
      </c>
    </row>
    <row r="710" spans="1:11" x14ac:dyDescent="0.2">
      <c r="A710" t="s">
        <v>738</v>
      </c>
      <c r="B710" t="s">
        <v>534</v>
      </c>
      <c r="C710" t="s">
        <v>527</v>
      </c>
      <c r="D710" t="s">
        <v>1066</v>
      </c>
      <c r="E710">
        <v>60</v>
      </c>
      <c r="F710">
        <v>7520</v>
      </c>
      <c r="G710">
        <v>142.94</v>
      </c>
      <c r="H710">
        <v>1</v>
      </c>
      <c r="I710">
        <v>5</v>
      </c>
      <c r="J710">
        <v>1</v>
      </c>
      <c r="K710" cm="1">
        <f t="array" ref="K710">IF(COUNTA(_xlfn.UNIQUE(_xlfn._xlws.FILTER($C$2:$C$1001,$B$2:$B$1001=B710)))=1,1,0)</f>
        <v>0</v>
      </c>
    </row>
    <row r="711" spans="1:11" x14ac:dyDescent="0.2">
      <c r="A711" t="s">
        <v>739</v>
      </c>
      <c r="B711" t="s">
        <v>526</v>
      </c>
      <c r="C711" t="s">
        <v>527</v>
      </c>
      <c r="D711" t="s">
        <v>1056</v>
      </c>
      <c r="E711">
        <v>42</v>
      </c>
      <c r="F711">
        <v>4985</v>
      </c>
      <c r="G711">
        <v>145.46</v>
      </c>
      <c r="H711">
        <v>3</v>
      </c>
      <c r="I711">
        <v>5</v>
      </c>
      <c r="J711">
        <v>2</v>
      </c>
      <c r="K711" cm="1">
        <f t="array" ref="K711">IF(COUNTA(_xlfn.UNIQUE(_xlfn._xlws.FILTER($C$2:$C$1001,$B$2:$B$1001=B711)))=1,1,0)</f>
        <v>0</v>
      </c>
    </row>
    <row r="712" spans="1:11" x14ac:dyDescent="0.2">
      <c r="A712" t="s">
        <v>740</v>
      </c>
      <c r="B712" t="s">
        <v>534</v>
      </c>
      <c r="C712" t="s">
        <v>18</v>
      </c>
      <c r="D712" t="s">
        <v>1062</v>
      </c>
      <c r="E712">
        <v>84</v>
      </c>
      <c r="F712">
        <v>5753</v>
      </c>
      <c r="G712">
        <v>136.94999999999999</v>
      </c>
      <c r="H712">
        <v>1</v>
      </c>
      <c r="I712">
        <v>5</v>
      </c>
      <c r="J712">
        <v>1</v>
      </c>
      <c r="K712" cm="1">
        <f t="array" ref="K712">IF(COUNTA(_xlfn.UNIQUE(_xlfn._xlws.FILTER($C$2:$C$1001,$B$2:$B$1001=B712)))=1,1,0)</f>
        <v>0</v>
      </c>
    </row>
    <row r="713" spans="1:11" x14ac:dyDescent="0.2">
      <c r="A713" t="s">
        <v>741</v>
      </c>
      <c r="B713" t="s">
        <v>532</v>
      </c>
      <c r="C713" t="s">
        <v>527</v>
      </c>
      <c r="D713" t="s">
        <v>1064</v>
      </c>
      <c r="E713">
        <v>7</v>
      </c>
      <c r="F713">
        <v>9625</v>
      </c>
      <c r="G713">
        <v>63.33</v>
      </c>
      <c r="H713">
        <v>1</v>
      </c>
      <c r="I713">
        <v>4</v>
      </c>
      <c r="J713">
        <v>1</v>
      </c>
      <c r="K713" cm="1">
        <f t="array" ref="K713">IF(COUNTA(_xlfn.UNIQUE(_xlfn._xlws.FILTER($C$2:$C$1001,$B$2:$B$1001=B713)))=1,1,0)</f>
        <v>0</v>
      </c>
    </row>
    <row r="714" spans="1:11" x14ac:dyDescent="0.2">
      <c r="A714" t="s">
        <v>742</v>
      </c>
      <c r="B714" t="s">
        <v>526</v>
      </c>
      <c r="C714" t="s">
        <v>274</v>
      </c>
      <c r="D714" t="s">
        <v>1063</v>
      </c>
      <c r="E714">
        <v>45</v>
      </c>
      <c r="F714">
        <v>1250</v>
      </c>
      <c r="G714">
        <v>61.82</v>
      </c>
      <c r="H714">
        <v>2</v>
      </c>
      <c r="I714">
        <v>5</v>
      </c>
      <c r="J714">
        <v>1</v>
      </c>
      <c r="K714" cm="1">
        <f t="array" ref="K714">IF(COUNTA(_xlfn.UNIQUE(_xlfn._xlws.FILTER($C$2:$C$1001,$B$2:$B$1001=B714)))=1,1,0)</f>
        <v>0</v>
      </c>
    </row>
    <row r="715" spans="1:11" x14ac:dyDescent="0.2">
      <c r="A715" t="s">
        <v>743</v>
      </c>
      <c r="B715" t="s">
        <v>530</v>
      </c>
      <c r="C715" t="s">
        <v>527</v>
      </c>
      <c r="D715" t="s">
        <v>1057</v>
      </c>
      <c r="E715">
        <v>8</v>
      </c>
      <c r="F715">
        <v>2173</v>
      </c>
      <c r="G715">
        <v>116.47</v>
      </c>
      <c r="H715">
        <v>2</v>
      </c>
      <c r="I715">
        <v>5</v>
      </c>
      <c r="J715">
        <v>2</v>
      </c>
      <c r="K715" cm="1">
        <f t="array" ref="K715">IF(COUNTA(_xlfn.UNIQUE(_xlfn._xlws.FILTER($C$2:$C$1001,$B$2:$B$1001=B715)))=1,1,0)</f>
        <v>0</v>
      </c>
    </row>
    <row r="716" spans="1:11" x14ac:dyDescent="0.2">
      <c r="A716" t="s">
        <v>744</v>
      </c>
      <c r="B716" t="s">
        <v>534</v>
      </c>
      <c r="C716" t="s">
        <v>274</v>
      </c>
      <c r="D716" t="s">
        <v>1059</v>
      </c>
      <c r="E716">
        <v>86</v>
      </c>
      <c r="F716">
        <v>6287</v>
      </c>
      <c r="G716">
        <v>116.13</v>
      </c>
      <c r="H716">
        <v>3</v>
      </c>
      <c r="I716">
        <v>4</v>
      </c>
      <c r="J716">
        <v>2</v>
      </c>
      <c r="K716" cm="1">
        <f t="array" ref="K716">IF(COUNTA(_xlfn.UNIQUE(_xlfn._xlws.FILTER($C$2:$C$1001,$B$2:$B$1001=B716)))=1,1,0)</f>
        <v>0</v>
      </c>
    </row>
    <row r="717" spans="1:11" x14ac:dyDescent="0.2">
      <c r="A717" t="s">
        <v>745</v>
      </c>
      <c r="B717" t="s">
        <v>534</v>
      </c>
      <c r="C717" t="s">
        <v>274</v>
      </c>
      <c r="D717" t="s">
        <v>1059</v>
      </c>
      <c r="E717">
        <v>55</v>
      </c>
      <c r="F717">
        <v>8619</v>
      </c>
      <c r="G717">
        <v>136.44</v>
      </c>
      <c r="H717">
        <v>2</v>
      </c>
      <c r="I717">
        <v>4</v>
      </c>
      <c r="J717">
        <v>2</v>
      </c>
      <c r="K717" cm="1">
        <f t="array" ref="K717">IF(COUNTA(_xlfn.UNIQUE(_xlfn._xlws.FILTER($C$2:$C$1001,$B$2:$B$1001=B717)))=1,1,0)</f>
        <v>0</v>
      </c>
    </row>
    <row r="718" spans="1:11" x14ac:dyDescent="0.2">
      <c r="A718" t="s">
        <v>746</v>
      </c>
      <c r="B718" t="s">
        <v>532</v>
      </c>
      <c r="C718" t="s">
        <v>274</v>
      </c>
      <c r="D718" t="s">
        <v>1060</v>
      </c>
      <c r="E718">
        <v>29</v>
      </c>
      <c r="F718">
        <v>8211</v>
      </c>
      <c r="G718">
        <v>91.72</v>
      </c>
      <c r="H718">
        <v>1</v>
      </c>
      <c r="I718">
        <v>5</v>
      </c>
      <c r="J718">
        <v>1</v>
      </c>
      <c r="K718" cm="1">
        <f t="array" ref="K718">IF(COUNTA(_xlfn.UNIQUE(_xlfn._xlws.FILTER($C$2:$C$1001,$B$2:$B$1001=B718)))=1,1,0)</f>
        <v>0</v>
      </c>
    </row>
    <row r="719" spans="1:11" x14ac:dyDescent="0.2">
      <c r="A719" t="s">
        <v>747</v>
      </c>
      <c r="B719" t="s">
        <v>532</v>
      </c>
      <c r="C719" t="s">
        <v>274</v>
      </c>
      <c r="D719" t="s">
        <v>1060</v>
      </c>
      <c r="E719">
        <v>84</v>
      </c>
      <c r="F719">
        <v>4057</v>
      </c>
      <c r="G719">
        <v>90.17</v>
      </c>
      <c r="H719">
        <v>1</v>
      </c>
      <c r="I719">
        <v>4</v>
      </c>
      <c r="J719">
        <v>1</v>
      </c>
      <c r="K719" cm="1">
        <f t="array" ref="K719">IF(COUNTA(_xlfn.UNIQUE(_xlfn._xlws.FILTER($C$2:$C$1001,$B$2:$B$1001=B719)))=1,1,0)</f>
        <v>0</v>
      </c>
    </row>
    <row r="720" spans="1:11" x14ac:dyDescent="0.2">
      <c r="A720" t="s">
        <v>748</v>
      </c>
      <c r="B720" t="s">
        <v>530</v>
      </c>
      <c r="C720" t="s">
        <v>527</v>
      </c>
      <c r="D720" t="s">
        <v>1057</v>
      </c>
      <c r="E720">
        <v>40</v>
      </c>
      <c r="F720">
        <v>9210</v>
      </c>
      <c r="G720">
        <v>121.54</v>
      </c>
      <c r="H720">
        <v>1</v>
      </c>
      <c r="I720">
        <v>5</v>
      </c>
      <c r="J720">
        <v>1</v>
      </c>
      <c r="K720" cm="1">
        <f t="array" ref="K720">IF(COUNTA(_xlfn.UNIQUE(_xlfn._xlws.FILTER($C$2:$C$1001,$B$2:$B$1001=B720)))=1,1,0)</f>
        <v>0</v>
      </c>
    </row>
    <row r="721" spans="1:11" x14ac:dyDescent="0.2">
      <c r="A721" t="s">
        <v>749</v>
      </c>
      <c r="B721" t="s">
        <v>530</v>
      </c>
      <c r="C721" t="s">
        <v>527</v>
      </c>
      <c r="D721" t="s">
        <v>1057</v>
      </c>
      <c r="E721">
        <v>16</v>
      </c>
      <c r="F721">
        <v>5137</v>
      </c>
      <c r="G721">
        <v>148.81</v>
      </c>
      <c r="H721">
        <v>1</v>
      </c>
      <c r="I721">
        <v>4</v>
      </c>
      <c r="J721">
        <v>1</v>
      </c>
      <c r="K721" cm="1">
        <f t="array" ref="K721">IF(COUNTA(_xlfn.UNIQUE(_xlfn._xlws.FILTER($C$2:$C$1001,$B$2:$B$1001=B721)))=1,1,0)</f>
        <v>0</v>
      </c>
    </row>
    <row r="722" spans="1:11" x14ac:dyDescent="0.2">
      <c r="A722" t="s">
        <v>750</v>
      </c>
      <c r="B722" t="s">
        <v>530</v>
      </c>
      <c r="C722" t="s">
        <v>527</v>
      </c>
      <c r="D722" t="s">
        <v>1057</v>
      </c>
      <c r="E722">
        <v>36</v>
      </c>
      <c r="F722">
        <v>8572</v>
      </c>
      <c r="G722">
        <v>120.56</v>
      </c>
      <c r="H722">
        <v>2</v>
      </c>
      <c r="I722">
        <v>5</v>
      </c>
      <c r="J722">
        <v>2</v>
      </c>
      <c r="K722" cm="1">
        <f t="array" ref="K722">IF(COUNTA(_xlfn.UNIQUE(_xlfn._xlws.FILTER($C$2:$C$1001,$B$2:$B$1001=B722)))=1,1,0)</f>
        <v>0</v>
      </c>
    </row>
    <row r="723" spans="1:11" x14ac:dyDescent="0.2">
      <c r="A723" t="s">
        <v>751</v>
      </c>
      <c r="B723" t="s">
        <v>534</v>
      </c>
      <c r="C723" t="s">
        <v>527</v>
      </c>
      <c r="D723" t="s">
        <v>1066</v>
      </c>
      <c r="E723">
        <v>69</v>
      </c>
      <c r="F723">
        <v>4129</v>
      </c>
      <c r="G723">
        <v>54.71</v>
      </c>
      <c r="H723">
        <v>1</v>
      </c>
      <c r="I723">
        <v>5</v>
      </c>
      <c r="J723">
        <v>1</v>
      </c>
      <c r="K723" cm="1">
        <f t="array" ref="K723">IF(COUNTA(_xlfn.UNIQUE(_xlfn._xlws.FILTER($C$2:$C$1001,$B$2:$B$1001=B723)))=1,1,0)</f>
        <v>0</v>
      </c>
    </row>
    <row r="724" spans="1:11" x14ac:dyDescent="0.2">
      <c r="A724" t="s">
        <v>752</v>
      </c>
      <c r="B724" t="s">
        <v>526</v>
      </c>
      <c r="C724" t="s">
        <v>18</v>
      </c>
      <c r="D724" t="s">
        <v>1067</v>
      </c>
      <c r="E724">
        <v>16</v>
      </c>
      <c r="F724">
        <v>6111</v>
      </c>
      <c r="G724">
        <v>51.05</v>
      </c>
      <c r="H724">
        <v>1</v>
      </c>
      <c r="I724">
        <v>5</v>
      </c>
      <c r="J724">
        <v>1</v>
      </c>
      <c r="K724" cm="1">
        <f t="array" ref="K724">IF(COUNTA(_xlfn.UNIQUE(_xlfn._xlws.FILTER($C$2:$C$1001,$B$2:$B$1001=B724)))=1,1,0)</f>
        <v>0</v>
      </c>
    </row>
    <row r="725" spans="1:11" x14ac:dyDescent="0.2">
      <c r="A725" t="s">
        <v>753</v>
      </c>
      <c r="B725" t="s">
        <v>526</v>
      </c>
      <c r="C725" t="s">
        <v>18</v>
      </c>
      <c r="D725" t="s">
        <v>1067</v>
      </c>
      <c r="E725">
        <v>26</v>
      </c>
      <c r="F725">
        <v>5025</v>
      </c>
      <c r="G725">
        <v>139.38999999999999</v>
      </c>
      <c r="H725">
        <v>2</v>
      </c>
      <c r="I725">
        <v>5</v>
      </c>
      <c r="J725">
        <v>1</v>
      </c>
      <c r="K725" cm="1">
        <f t="array" ref="K725">IF(COUNTA(_xlfn.UNIQUE(_xlfn._xlws.FILTER($C$2:$C$1001,$B$2:$B$1001=B725)))=1,1,0)</f>
        <v>0</v>
      </c>
    </row>
    <row r="726" spans="1:11" x14ac:dyDescent="0.2">
      <c r="A726" t="s">
        <v>754</v>
      </c>
      <c r="B726" t="s">
        <v>530</v>
      </c>
      <c r="C726" t="s">
        <v>527</v>
      </c>
      <c r="D726" t="s">
        <v>1057</v>
      </c>
      <c r="E726">
        <v>71</v>
      </c>
      <c r="F726">
        <v>2812</v>
      </c>
      <c r="G726">
        <v>145.88999999999999</v>
      </c>
      <c r="H726">
        <v>1</v>
      </c>
      <c r="I726">
        <v>5</v>
      </c>
      <c r="J726">
        <v>2</v>
      </c>
      <c r="K726" cm="1">
        <f t="array" ref="K726">IF(COUNTA(_xlfn.UNIQUE(_xlfn._xlws.FILTER($C$2:$C$1001,$B$2:$B$1001=B726)))=1,1,0)</f>
        <v>0</v>
      </c>
    </row>
    <row r="727" spans="1:11" x14ac:dyDescent="0.2">
      <c r="A727" t="s">
        <v>755</v>
      </c>
      <c r="B727" t="s">
        <v>534</v>
      </c>
      <c r="C727" t="s">
        <v>527</v>
      </c>
      <c r="D727" t="s">
        <v>1066</v>
      </c>
      <c r="E727">
        <v>61</v>
      </c>
      <c r="F727">
        <v>1551</v>
      </c>
      <c r="G727">
        <v>107.85</v>
      </c>
      <c r="H727">
        <v>1</v>
      </c>
      <c r="I727">
        <v>4</v>
      </c>
      <c r="J727">
        <v>1</v>
      </c>
      <c r="K727" cm="1">
        <f t="array" ref="K727">IF(COUNTA(_xlfn.UNIQUE(_xlfn._xlws.FILTER($C$2:$C$1001,$B$2:$B$1001=B727)))=1,1,0)</f>
        <v>0</v>
      </c>
    </row>
    <row r="728" spans="1:11" x14ac:dyDescent="0.2">
      <c r="A728" t="s">
        <v>756</v>
      </c>
      <c r="B728" t="s">
        <v>532</v>
      </c>
      <c r="C728" t="s">
        <v>18</v>
      </c>
      <c r="D728" t="s">
        <v>1058</v>
      </c>
      <c r="E728">
        <v>83</v>
      </c>
      <c r="F728">
        <v>5052</v>
      </c>
      <c r="G728">
        <v>58.7</v>
      </c>
      <c r="H728">
        <v>2</v>
      </c>
      <c r="I728">
        <v>5</v>
      </c>
      <c r="J728">
        <v>2</v>
      </c>
      <c r="K728" cm="1">
        <f t="array" ref="K728">IF(COUNTA(_xlfn.UNIQUE(_xlfn._xlws.FILTER($C$2:$C$1001,$B$2:$B$1001=B728)))=1,1,0)</f>
        <v>0</v>
      </c>
    </row>
    <row r="729" spans="1:11" x14ac:dyDescent="0.2">
      <c r="A729" t="s">
        <v>757</v>
      </c>
      <c r="B729" t="s">
        <v>534</v>
      </c>
      <c r="C729" t="s">
        <v>18</v>
      </c>
      <c r="D729" t="s">
        <v>1062</v>
      </c>
      <c r="E729">
        <v>65</v>
      </c>
      <c r="F729">
        <v>7354</v>
      </c>
      <c r="G729">
        <v>50.62</v>
      </c>
      <c r="H729">
        <v>1</v>
      </c>
      <c r="I729">
        <v>4</v>
      </c>
      <c r="J729">
        <v>2</v>
      </c>
      <c r="K729" cm="1">
        <f t="array" ref="K729">IF(COUNTA(_xlfn.UNIQUE(_xlfn._xlws.FILTER($C$2:$C$1001,$B$2:$B$1001=B729)))=1,1,0)</f>
        <v>0</v>
      </c>
    </row>
    <row r="730" spans="1:11" x14ac:dyDescent="0.2">
      <c r="A730" t="s">
        <v>758</v>
      </c>
      <c r="B730" t="s">
        <v>532</v>
      </c>
      <c r="C730" t="s">
        <v>18</v>
      </c>
      <c r="D730" t="s">
        <v>1058</v>
      </c>
      <c r="E730">
        <v>45</v>
      </c>
      <c r="F730">
        <v>9449</v>
      </c>
      <c r="G730">
        <v>52.4</v>
      </c>
      <c r="H730">
        <v>1</v>
      </c>
      <c r="I730">
        <v>3</v>
      </c>
      <c r="J730">
        <v>1</v>
      </c>
      <c r="K730" cm="1">
        <f t="array" ref="K730">IF(COUNTA(_xlfn.UNIQUE(_xlfn._xlws.FILTER($C$2:$C$1001,$B$2:$B$1001=B730)))=1,1,0)</f>
        <v>0</v>
      </c>
    </row>
    <row r="731" spans="1:11" x14ac:dyDescent="0.2">
      <c r="A731" t="s">
        <v>759</v>
      </c>
      <c r="B731" t="s">
        <v>530</v>
      </c>
      <c r="C731" t="s">
        <v>274</v>
      </c>
      <c r="D731" t="s">
        <v>1065</v>
      </c>
      <c r="E731">
        <v>36</v>
      </c>
      <c r="F731">
        <v>6670</v>
      </c>
      <c r="G731">
        <v>103.82</v>
      </c>
      <c r="H731">
        <v>1</v>
      </c>
      <c r="I731">
        <v>4</v>
      </c>
      <c r="J731">
        <v>2</v>
      </c>
      <c r="K731" cm="1">
        <f t="array" ref="K731">IF(COUNTA(_xlfn.UNIQUE(_xlfn._xlws.FILTER($C$2:$C$1001,$B$2:$B$1001=B731)))=1,1,0)</f>
        <v>0</v>
      </c>
    </row>
    <row r="732" spans="1:11" x14ac:dyDescent="0.2">
      <c r="A732" t="s">
        <v>760</v>
      </c>
      <c r="B732" t="s">
        <v>532</v>
      </c>
      <c r="C732" t="s">
        <v>527</v>
      </c>
      <c r="D732" t="s">
        <v>1064</v>
      </c>
      <c r="E732">
        <v>63</v>
      </c>
      <c r="F732">
        <v>3243</v>
      </c>
      <c r="G732">
        <v>55.91</v>
      </c>
      <c r="H732">
        <v>2</v>
      </c>
      <c r="I732">
        <v>5</v>
      </c>
      <c r="J732">
        <v>1</v>
      </c>
      <c r="K732" cm="1">
        <f t="array" ref="K732">IF(COUNTA(_xlfn.UNIQUE(_xlfn._xlws.FILTER($C$2:$C$1001,$B$2:$B$1001=B732)))=1,1,0)</f>
        <v>0</v>
      </c>
    </row>
    <row r="733" spans="1:11" x14ac:dyDescent="0.2">
      <c r="A733" t="s">
        <v>761</v>
      </c>
      <c r="B733" t="s">
        <v>526</v>
      </c>
      <c r="C733" t="s">
        <v>527</v>
      </c>
      <c r="D733" t="s">
        <v>1056</v>
      </c>
      <c r="E733">
        <v>38</v>
      </c>
      <c r="F733">
        <v>1343</v>
      </c>
      <c r="G733">
        <v>87.1</v>
      </c>
      <c r="H733">
        <v>1</v>
      </c>
      <c r="I733">
        <v>5</v>
      </c>
      <c r="J733">
        <v>1</v>
      </c>
      <c r="K733" cm="1">
        <f t="array" ref="K733">IF(COUNTA(_xlfn.UNIQUE(_xlfn._xlws.FILTER($C$2:$C$1001,$B$2:$B$1001=B733)))=1,1,0)</f>
        <v>0</v>
      </c>
    </row>
    <row r="734" spans="1:11" x14ac:dyDescent="0.2">
      <c r="A734" t="s">
        <v>762</v>
      </c>
      <c r="B734" t="s">
        <v>532</v>
      </c>
      <c r="C734" t="s">
        <v>18</v>
      </c>
      <c r="D734" t="s">
        <v>1058</v>
      </c>
      <c r="E734">
        <v>82</v>
      </c>
      <c r="F734">
        <v>6819</v>
      </c>
      <c r="G734">
        <v>53.24</v>
      </c>
      <c r="H734">
        <v>2</v>
      </c>
      <c r="I734">
        <v>3</v>
      </c>
      <c r="J734">
        <v>1</v>
      </c>
      <c r="K734" cm="1">
        <f t="array" ref="K734">IF(COUNTA(_xlfn.UNIQUE(_xlfn._xlws.FILTER($C$2:$C$1001,$B$2:$B$1001=B734)))=1,1,0)</f>
        <v>0</v>
      </c>
    </row>
    <row r="735" spans="1:11" x14ac:dyDescent="0.2">
      <c r="A735" t="s">
        <v>763</v>
      </c>
      <c r="B735" t="s">
        <v>532</v>
      </c>
      <c r="C735" t="s">
        <v>18</v>
      </c>
      <c r="D735" t="s">
        <v>1058</v>
      </c>
      <c r="E735">
        <v>24</v>
      </c>
      <c r="F735">
        <v>7784</v>
      </c>
      <c r="G735">
        <v>72.44</v>
      </c>
      <c r="H735">
        <v>1</v>
      </c>
      <c r="I735">
        <v>5</v>
      </c>
      <c r="J735">
        <v>2</v>
      </c>
      <c r="K735" cm="1">
        <f t="array" ref="K735">IF(COUNTA(_xlfn.UNIQUE(_xlfn._xlws.FILTER($C$2:$C$1001,$B$2:$B$1001=B735)))=1,1,0)</f>
        <v>0</v>
      </c>
    </row>
    <row r="736" spans="1:11" x14ac:dyDescent="0.2">
      <c r="A736" t="s">
        <v>764</v>
      </c>
      <c r="B736" t="s">
        <v>532</v>
      </c>
      <c r="C736" t="s">
        <v>527</v>
      </c>
      <c r="D736" t="s">
        <v>1064</v>
      </c>
      <c r="E736">
        <v>40</v>
      </c>
      <c r="F736">
        <v>7673</v>
      </c>
      <c r="G736">
        <v>107.12</v>
      </c>
      <c r="H736">
        <v>2</v>
      </c>
      <c r="I736">
        <v>5</v>
      </c>
      <c r="J736">
        <v>1</v>
      </c>
      <c r="K736" cm="1">
        <f t="array" ref="K736">IF(COUNTA(_xlfn.UNIQUE(_xlfn._xlws.FILTER($C$2:$C$1001,$B$2:$B$1001=B736)))=1,1,0)</f>
        <v>0</v>
      </c>
    </row>
    <row r="737" spans="1:11" x14ac:dyDescent="0.2">
      <c r="A737" t="s">
        <v>765</v>
      </c>
      <c r="B737" t="s">
        <v>526</v>
      </c>
      <c r="C737" t="s">
        <v>274</v>
      </c>
      <c r="D737" t="s">
        <v>1063</v>
      </c>
      <c r="E737">
        <v>41</v>
      </c>
      <c r="F737">
        <v>7654</v>
      </c>
      <c r="G737">
        <v>63.14</v>
      </c>
      <c r="H737">
        <v>3</v>
      </c>
      <c r="I737">
        <v>5</v>
      </c>
      <c r="J737">
        <v>1</v>
      </c>
      <c r="K737" cm="1">
        <f t="array" ref="K737">IF(COUNTA(_xlfn.UNIQUE(_xlfn._xlws.FILTER($C$2:$C$1001,$B$2:$B$1001=B737)))=1,1,0)</f>
        <v>0</v>
      </c>
    </row>
    <row r="738" spans="1:11" x14ac:dyDescent="0.2">
      <c r="A738" t="s">
        <v>766</v>
      </c>
      <c r="B738" t="s">
        <v>530</v>
      </c>
      <c r="C738" t="s">
        <v>274</v>
      </c>
      <c r="D738" t="s">
        <v>1065</v>
      </c>
      <c r="E738">
        <v>28</v>
      </c>
      <c r="F738">
        <v>7310</v>
      </c>
      <c r="G738">
        <v>84.81</v>
      </c>
      <c r="H738">
        <v>2</v>
      </c>
      <c r="I738">
        <v>5</v>
      </c>
      <c r="J738">
        <v>2</v>
      </c>
      <c r="K738" cm="1">
        <f t="array" ref="K738">IF(COUNTA(_xlfn.UNIQUE(_xlfn._xlws.FILTER($C$2:$C$1001,$B$2:$B$1001=B738)))=1,1,0)</f>
        <v>0</v>
      </c>
    </row>
    <row r="739" spans="1:11" x14ac:dyDescent="0.2">
      <c r="A739" t="s">
        <v>767</v>
      </c>
      <c r="B739" t="s">
        <v>526</v>
      </c>
      <c r="C739" t="s">
        <v>527</v>
      </c>
      <c r="D739" t="s">
        <v>1056</v>
      </c>
      <c r="E739">
        <v>63</v>
      </c>
      <c r="F739">
        <v>4382</v>
      </c>
      <c r="G739">
        <v>123.65</v>
      </c>
      <c r="H739">
        <v>1</v>
      </c>
      <c r="I739">
        <v>5</v>
      </c>
      <c r="J739">
        <v>2</v>
      </c>
      <c r="K739" cm="1">
        <f t="array" ref="K739">IF(COUNTA(_xlfn.UNIQUE(_xlfn._xlws.FILTER($C$2:$C$1001,$B$2:$B$1001=B739)))=1,1,0)</f>
        <v>0</v>
      </c>
    </row>
    <row r="740" spans="1:11" x14ac:dyDescent="0.2">
      <c r="A740" t="s">
        <v>768</v>
      </c>
      <c r="B740" t="s">
        <v>526</v>
      </c>
      <c r="C740" t="s">
        <v>18</v>
      </c>
      <c r="D740" t="s">
        <v>1067</v>
      </c>
      <c r="E740">
        <v>80</v>
      </c>
      <c r="F740">
        <v>5273</v>
      </c>
      <c r="G740">
        <v>82.07</v>
      </c>
      <c r="H740">
        <v>2</v>
      </c>
      <c r="I740">
        <v>5</v>
      </c>
      <c r="J740">
        <v>2</v>
      </c>
      <c r="K740" cm="1">
        <f t="array" ref="K740">IF(COUNTA(_xlfn.UNIQUE(_xlfn._xlws.FILTER($C$2:$C$1001,$B$2:$B$1001=B740)))=1,1,0)</f>
        <v>0</v>
      </c>
    </row>
    <row r="741" spans="1:11" x14ac:dyDescent="0.2">
      <c r="A741" t="s">
        <v>769</v>
      </c>
      <c r="B741" t="s">
        <v>526</v>
      </c>
      <c r="C741" t="s">
        <v>18</v>
      </c>
      <c r="D741" t="s">
        <v>1067</v>
      </c>
      <c r="E741">
        <v>40</v>
      </c>
      <c r="F741">
        <v>6315</v>
      </c>
      <c r="G741">
        <v>148.33000000000001</v>
      </c>
      <c r="H741">
        <v>3</v>
      </c>
      <c r="I741">
        <v>5</v>
      </c>
      <c r="J741">
        <v>1</v>
      </c>
      <c r="K741" cm="1">
        <f t="array" ref="K741">IF(COUNTA(_xlfn.UNIQUE(_xlfn._xlws.FILTER($C$2:$C$1001,$B$2:$B$1001=B741)))=1,1,0)</f>
        <v>0</v>
      </c>
    </row>
    <row r="742" spans="1:11" x14ac:dyDescent="0.2">
      <c r="A742" t="s">
        <v>770</v>
      </c>
      <c r="B742" t="s">
        <v>530</v>
      </c>
      <c r="C742" t="s">
        <v>18</v>
      </c>
      <c r="D742" t="s">
        <v>1061</v>
      </c>
      <c r="E742">
        <v>56</v>
      </c>
      <c r="F742">
        <v>4250</v>
      </c>
      <c r="G742">
        <v>148.65</v>
      </c>
      <c r="H742">
        <v>2</v>
      </c>
      <c r="I742">
        <v>5</v>
      </c>
      <c r="J742">
        <v>2</v>
      </c>
      <c r="K742" cm="1">
        <f t="array" ref="K742">IF(COUNTA(_xlfn.UNIQUE(_xlfn._xlws.FILTER($C$2:$C$1001,$B$2:$B$1001=B742)))=1,1,0)</f>
        <v>0</v>
      </c>
    </row>
    <row r="743" spans="1:11" x14ac:dyDescent="0.2">
      <c r="A743" t="s">
        <v>771</v>
      </c>
      <c r="B743" t="s">
        <v>534</v>
      </c>
      <c r="C743" t="s">
        <v>18</v>
      </c>
      <c r="D743" t="s">
        <v>1062</v>
      </c>
      <c r="E743">
        <v>54</v>
      </c>
      <c r="F743">
        <v>3261</v>
      </c>
      <c r="G743">
        <v>71.760000000000005</v>
      </c>
      <c r="H743">
        <v>1</v>
      </c>
      <c r="I743">
        <v>4</v>
      </c>
      <c r="J743">
        <v>2</v>
      </c>
      <c r="K743" cm="1">
        <f t="array" ref="K743">IF(COUNTA(_xlfn.UNIQUE(_xlfn._xlws.FILTER($C$2:$C$1001,$B$2:$B$1001=B743)))=1,1,0)</f>
        <v>0</v>
      </c>
    </row>
    <row r="744" spans="1:11" x14ac:dyDescent="0.2">
      <c r="A744" t="s">
        <v>772</v>
      </c>
      <c r="B744" t="s">
        <v>534</v>
      </c>
      <c r="C744" t="s">
        <v>274</v>
      </c>
      <c r="D744" t="s">
        <v>1059</v>
      </c>
      <c r="E744">
        <v>80</v>
      </c>
      <c r="F744">
        <v>4209</v>
      </c>
      <c r="G744">
        <v>104.48</v>
      </c>
      <c r="H744">
        <v>2</v>
      </c>
      <c r="I744">
        <v>3</v>
      </c>
      <c r="J744">
        <v>1</v>
      </c>
      <c r="K744" cm="1">
        <f t="array" ref="K744">IF(COUNTA(_xlfn.UNIQUE(_xlfn._xlws.FILTER($C$2:$C$1001,$B$2:$B$1001=B744)))=1,1,0)</f>
        <v>0</v>
      </c>
    </row>
    <row r="745" spans="1:11" x14ac:dyDescent="0.2">
      <c r="A745" t="s">
        <v>773</v>
      </c>
      <c r="B745" t="s">
        <v>534</v>
      </c>
      <c r="C745" t="s">
        <v>18</v>
      </c>
      <c r="D745" t="s">
        <v>1062</v>
      </c>
      <c r="E745">
        <v>46</v>
      </c>
      <c r="F745">
        <v>4557</v>
      </c>
      <c r="G745">
        <v>86.67</v>
      </c>
      <c r="H745">
        <v>2</v>
      </c>
      <c r="I745">
        <v>3</v>
      </c>
      <c r="J745">
        <v>2</v>
      </c>
      <c r="K745" cm="1">
        <f t="array" ref="K745">IF(COUNTA(_xlfn.UNIQUE(_xlfn._xlws.FILTER($C$2:$C$1001,$B$2:$B$1001=B745)))=1,1,0)</f>
        <v>0</v>
      </c>
    </row>
    <row r="746" spans="1:11" x14ac:dyDescent="0.2">
      <c r="A746" t="s">
        <v>774</v>
      </c>
      <c r="B746" t="s">
        <v>532</v>
      </c>
      <c r="C746" t="s">
        <v>274</v>
      </c>
      <c r="D746" t="s">
        <v>1060</v>
      </c>
      <c r="E746">
        <v>33</v>
      </c>
      <c r="F746">
        <v>7763</v>
      </c>
      <c r="G746">
        <v>76.680000000000007</v>
      </c>
      <c r="H746">
        <v>2</v>
      </c>
      <c r="I746">
        <v>3</v>
      </c>
      <c r="J746">
        <v>1</v>
      </c>
      <c r="K746" cm="1">
        <f t="array" ref="K746">IF(COUNTA(_xlfn.UNIQUE(_xlfn._xlws.FILTER($C$2:$C$1001,$B$2:$B$1001=B746)))=1,1,0)</f>
        <v>0</v>
      </c>
    </row>
    <row r="747" spans="1:11" x14ac:dyDescent="0.2">
      <c r="A747" t="s">
        <v>775</v>
      </c>
      <c r="B747" t="s">
        <v>530</v>
      </c>
      <c r="C747" t="s">
        <v>527</v>
      </c>
      <c r="D747" t="s">
        <v>1057</v>
      </c>
      <c r="E747">
        <v>58</v>
      </c>
      <c r="F747">
        <v>1354</v>
      </c>
      <c r="G747">
        <v>81.28</v>
      </c>
      <c r="H747">
        <v>1</v>
      </c>
      <c r="I747">
        <v>5</v>
      </c>
      <c r="J747">
        <v>1</v>
      </c>
      <c r="K747" cm="1">
        <f t="array" ref="K747">IF(COUNTA(_xlfn.UNIQUE(_xlfn._xlws.FILTER($C$2:$C$1001,$B$2:$B$1001=B747)))=1,1,0)</f>
        <v>0</v>
      </c>
    </row>
    <row r="748" spans="1:11" x14ac:dyDescent="0.2">
      <c r="A748" t="s">
        <v>776</v>
      </c>
      <c r="B748" t="s">
        <v>532</v>
      </c>
      <c r="C748" t="s">
        <v>274</v>
      </c>
      <c r="D748" t="s">
        <v>1060</v>
      </c>
      <c r="E748">
        <v>45</v>
      </c>
      <c r="F748">
        <v>3486</v>
      </c>
      <c r="G748">
        <v>126.62</v>
      </c>
      <c r="H748">
        <v>1</v>
      </c>
      <c r="I748">
        <v>5</v>
      </c>
      <c r="J748">
        <v>1</v>
      </c>
      <c r="K748" cm="1">
        <f t="array" ref="K748">IF(COUNTA(_xlfn.UNIQUE(_xlfn._xlws.FILTER($C$2:$C$1001,$B$2:$B$1001=B748)))=1,1,0)</f>
        <v>0</v>
      </c>
    </row>
    <row r="749" spans="1:11" x14ac:dyDescent="0.2">
      <c r="A749" t="s">
        <v>777</v>
      </c>
      <c r="B749" t="s">
        <v>534</v>
      </c>
      <c r="C749" t="s">
        <v>527</v>
      </c>
      <c r="D749" t="s">
        <v>1066</v>
      </c>
      <c r="E749">
        <v>86</v>
      </c>
      <c r="F749">
        <v>8435</v>
      </c>
      <c r="G749">
        <v>116.23</v>
      </c>
      <c r="H749">
        <v>1</v>
      </c>
      <c r="I749">
        <v>4</v>
      </c>
      <c r="J749">
        <v>1</v>
      </c>
      <c r="K749" cm="1">
        <f t="array" ref="K749">IF(COUNTA(_xlfn.UNIQUE(_xlfn._xlws.FILTER($C$2:$C$1001,$B$2:$B$1001=B749)))=1,1,0)</f>
        <v>0</v>
      </c>
    </row>
    <row r="750" spans="1:11" x14ac:dyDescent="0.2">
      <c r="A750" t="s">
        <v>778</v>
      </c>
      <c r="B750" t="s">
        <v>532</v>
      </c>
      <c r="C750" t="s">
        <v>18</v>
      </c>
      <c r="D750" t="s">
        <v>1058</v>
      </c>
      <c r="E750">
        <v>40</v>
      </c>
      <c r="F750">
        <v>9708</v>
      </c>
      <c r="G750">
        <v>97.44</v>
      </c>
      <c r="H750">
        <v>1</v>
      </c>
      <c r="I750">
        <v>4</v>
      </c>
      <c r="J750">
        <v>2</v>
      </c>
      <c r="K750" cm="1">
        <f t="array" ref="K750">IF(COUNTA(_xlfn.UNIQUE(_xlfn._xlws.FILTER($C$2:$C$1001,$B$2:$B$1001=B750)))=1,1,0)</f>
        <v>0</v>
      </c>
    </row>
    <row r="751" spans="1:11" x14ac:dyDescent="0.2">
      <c r="A751" t="s">
        <v>779</v>
      </c>
      <c r="B751" t="s">
        <v>526</v>
      </c>
      <c r="C751" t="s">
        <v>527</v>
      </c>
      <c r="D751" t="s">
        <v>1056</v>
      </c>
      <c r="E751">
        <v>56</v>
      </c>
      <c r="F751">
        <v>5934</v>
      </c>
      <c r="G751">
        <v>73.290000000000006</v>
      </c>
      <c r="H751">
        <v>3</v>
      </c>
      <c r="I751">
        <v>3</v>
      </c>
      <c r="J751">
        <v>1</v>
      </c>
      <c r="K751" cm="1">
        <f t="array" ref="K751">IF(COUNTA(_xlfn.UNIQUE(_xlfn._xlws.FILTER($C$2:$C$1001,$B$2:$B$1001=B751)))=1,1,0)</f>
        <v>0</v>
      </c>
    </row>
    <row r="752" spans="1:11" x14ac:dyDescent="0.2">
      <c r="A752" t="s">
        <v>780</v>
      </c>
      <c r="B752" t="s">
        <v>532</v>
      </c>
      <c r="C752" t="s">
        <v>18</v>
      </c>
      <c r="D752" t="s">
        <v>1058</v>
      </c>
      <c r="E752">
        <v>76</v>
      </c>
      <c r="F752">
        <v>6676</v>
      </c>
      <c r="G752">
        <v>63.33</v>
      </c>
      <c r="H752">
        <v>2</v>
      </c>
      <c r="I752">
        <v>5</v>
      </c>
      <c r="J752">
        <v>1</v>
      </c>
      <c r="K752" cm="1">
        <f t="array" ref="K752">IF(COUNTA(_xlfn.UNIQUE(_xlfn._xlws.FILTER($C$2:$C$1001,$B$2:$B$1001=B752)))=1,1,0)</f>
        <v>0</v>
      </c>
    </row>
    <row r="753" spans="1:11" x14ac:dyDescent="0.2">
      <c r="A753" t="s">
        <v>781</v>
      </c>
      <c r="B753" t="s">
        <v>782</v>
      </c>
      <c r="C753" t="s">
        <v>18</v>
      </c>
      <c r="D753" t="s">
        <v>1085</v>
      </c>
      <c r="E753">
        <v>55</v>
      </c>
      <c r="F753">
        <v>12768</v>
      </c>
      <c r="G753">
        <v>40.71</v>
      </c>
      <c r="H753">
        <v>1</v>
      </c>
      <c r="I753">
        <v>1</v>
      </c>
      <c r="J753">
        <v>1</v>
      </c>
      <c r="K753" cm="1">
        <f t="array" ref="K753">IF(COUNTA(_xlfn.UNIQUE(_xlfn._xlws.FILTER($C$2:$C$1001,$B$2:$B$1001=B753)))=1,1,0)</f>
        <v>1</v>
      </c>
    </row>
    <row r="754" spans="1:11" x14ac:dyDescent="0.2">
      <c r="A754" t="s">
        <v>783</v>
      </c>
      <c r="B754" t="s">
        <v>784</v>
      </c>
      <c r="C754" t="s">
        <v>527</v>
      </c>
      <c r="D754" t="s">
        <v>1086</v>
      </c>
      <c r="E754">
        <v>43</v>
      </c>
      <c r="F754">
        <v>15372</v>
      </c>
      <c r="G754">
        <v>42.27</v>
      </c>
      <c r="H754">
        <v>1</v>
      </c>
      <c r="I754">
        <v>1</v>
      </c>
      <c r="J754">
        <v>1</v>
      </c>
      <c r="K754" cm="1">
        <f t="array" ref="K754">IF(COUNTA(_xlfn.UNIQUE(_xlfn._xlws.FILTER($C$2:$C$1001,$B$2:$B$1001=B754)))=1,1,0)</f>
        <v>1</v>
      </c>
    </row>
    <row r="755" spans="1:11" x14ac:dyDescent="0.2">
      <c r="A755" t="s">
        <v>785</v>
      </c>
      <c r="B755" t="s">
        <v>782</v>
      </c>
      <c r="C755" t="s">
        <v>18</v>
      </c>
      <c r="D755" t="s">
        <v>1085</v>
      </c>
      <c r="E755">
        <v>22</v>
      </c>
      <c r="F755">
        <v>18902</v>
      </c>
      <c r="G755">
        <v>21.86</v>
      </c>
      <c r="H755">
        <v>1</v>
      </c>
      <c r="I755">
        <v>2</v>
      </c>
      <c r="J755">
        <v>2</v>
      </c>
      <c r="K755" cm="1">
        <f t="array" ref="K755">IF(COUNTA(_xlfn.UNIQUE(_xlfn._xlws.FILTER($C$2:$C$1001,$B$2:$B$1001=B755)))=1,1,0)</f>
        <v>1</v>
      </c>
    </row>
    <row r="756" spans="1:11" x14ac:dyDescent="0.2">
      <c r="A756" t="s">
        <v>786</v>
      </c>
      <c r="B756" t="s">
        <v>782</v>
      </c>
      <c r="C756" t="s">
        <v>18</v>
      </c>
      <c r="D756" t="s">
        <v>1085</v>
      </c>
      <c r="E756">
        <v>59</v>
      </c>
      <c r="F756">
        <v>19849</v>
      </c>
      <c r="G756">
        <v>29.54</v>
      </c>
      <c r="H756">
        <v>3</v>
      </c>
      <c r="I756">
        <v>1</v>
      </c>
      <c r="J756">
        <v>2</v>
      </c>
      <c r="K756" cm="1">
        <f t="array" ref="K756">IF(COUNTA(_xlfn.UNIQUE(_xlfn._xlws.FILTER($C$2:$C$1001,$B$2:$B$1001=B756)))=1,1,0)</f>
        <v>1</v>
      </c>
    </row>
    <row r="757" spans="1:11" x14ac:dyDescent="0.2">
      <c r="A757" t="s">
        <v>787</v>
      </c>
      <c r="B757" t="s">
        <v>788</v>
      </c>
      <c r="C757" t="s">
        <v>527</v>
      </c>
      <c r="D757" t="s">
        <v>1087</v>
      </c>
      <c r="E757">
        <v>13</v>
      </c>
      <c r="F757">
        <v>19170</v>
      </c>
      <c r="G757">
        <v>35.04</v>
      </c>
      <c r="H757">
        <v>2</v>
      </c>
      <c r="I757">
        <v>2</v>
      </c>
      <c r="J757">
        <v>2</v>
      </c>
      <c r="K757" cm="1">
        <f t="array" ref="K757">IF(COUNTA(_xlfn.UNIQUE(_xlfn._xlws.FILTER($C$2:$C$1001,$B$2:$B$1001=B757)))=1,1,0)</f>
        <v>1</v>
      </c>
    </row>
    <row r="758" spans="1:11" x14ac:dyDescent="0.2">
      <c r="A758" t="s">
        <v>789</v>
      </c>
      <c r="B758" t="s">
        <v>782</v>
      </c>
      <c r="C758" t="s">
        <v>18</v>
      </c>
      <c r="D758" t="s">
        <v>1085</v>
      </c>
      <c r="E758">
        <v>32</v>
      </c>
      <c r="F758">
        <v>7500</v>
      </c>
      <c r="G758">
        <v>15.34</v>
      </c>
      <c r="H758">
        <v>1</v>
      </c>
      <c r="I758">
        <v>2</v>
      </c>
      <c r="J758">
        <v>1</v>
      </c>
      <c r="K758" cm="1">
        <f t="array" ref="K758">IF(COUNTA(_xlfn.UNIQUE(_xlfn._xlws.FILTER($C$2:$C$1001,$B$2:$B$1001=B758)))=1,1,0)</f>
        <v>1</v>
      </c>
    </row>
    <row r="759" spans="1:11" x14ac:dyDescent="0.2">
      <c r="A759" t="s">
        <v>790</v>
      </c>
      <c r="B759" t="s">
        <v>784</v>
      </c>
      <c r="C759" t="s">
        <v>527</v>
      </c>
      <c r="D759" t="s">
        <v>1086</v>
      </c>
      <c r="E759">
        <v>10</v>
      </c>
      <c r="F759">
        <v>13540</v>
      </c>
      <c r="G759">
        <v>39.44</v>
      </c>
      <c r="H759">
        <v>2</v>
      </c>
      <c r="I759">
        <v>2</v>
      </c>
      <c r="J759">
        <v>2</v>
      </c>
      <c r="K759" cm="1">
        <f t="array" ref="K759">IF(COUNTA(_xlfn.UNIQUE(_xlfn._xlws.FILTER($C$2:$C$1001,$B$2:$B$1001=B759)))=1,1,0)</f>
        <v>1</v>
      </c>
    </row>
    <row r="760" spans="1:11" x14ac:dyDescent="0.2">
      <c r="A760" t="s">
        <v>791</v>
      </c>
      <c r="B760" t="s">
        <v>782</v>
      </c>
      <c r="C760" t="s">
        <v>18</v>
      </c>
      <c r="D760" t="s">
        <v>1085</v>
      </c>
      <c r="E760">
        <v>33</v>
      </c>
      <c r="F760">
        <v>7419</v>
      </c>
      <c r="G760">
        <v>21.17</v>
      </c>
      <c r="H760">
        <v>1</v>
      </c>
      <c r="I760">
        <v>3</v>
      </c>
      <c r="J760">
        <v>1</v>
      </c>
      <c r="K760" cm="1">
        <f t="array" ref="K760">IF(COUNTA(_xlfn.UNIQUE(_xlfn._xlws.FILTER($C$2:$C$1001,$B$2:$B$1001=B760)))=1,1,0)</f>
        <v>1</v>
      </c>
    </row>
    <row r="761" spans="1:11" x14ac:dyDescent="0.2">
      <c r="A761" t="s">
        <v>792</v>
      </c>
      <c r="B761" t="s">
        <v>793</v>
      </c>
      <c r="C761" t="s">
        <v>274</v>
      </c>
      <c r="D761" t="s">
        <v>1088</v>
      </c>
      <c r="E761">
        <v>88</v>
      </c>
      <c r="F761">
        <v>8117</v>
      </c>
      <c r="G761">
        <v>48.98</v>
      </c>
      <c r="H761">
        <v>2</v>
      </c>
      <c r="I761">
        <v>2</v>
      </c>
      <c r="J761">
        <v>2</v>
      </c>
      <c r="K761" cm="1">
        <f t="array" ref="K761">IF(COUNTA(_xlfn.UNIQUE(_xlfn._xlws.FILTER($C$2:$C$1001,$B$2:$B$1001=B761)))=1,1,0)</f>
        <v>1</v>
      </c>
    </row>
    <row r="762" spans="1:11" x14ac:dyDescent="0.2">
      <c r="A762" t="s">
        <v>794</v>
      </c>
      <c r="B762" t="s">
        <v>788</v>
      </c>
      <c r="C762" t="s">
        <v>527</v>
      </c>
      <c r="D762" t="s">
        <v>1087</v>
      </c>
      <c r="E762">
        <v>73</v>
      </c>
      <c r="F762">
        <v>15910</v>
      </c>
      <c r="G762">
        <v>15.13</v>
      </c>
      <c r="H762">
        <v>1</v>
      </c>
      <c r="I762">
        <v>2</v>
      </c>
      <c r="J762">
        <v>2</v>
      </c>
      <c r="K762" cm="1">
        <f t="array" ref="K762">IF(COUNTA(_xlfn.UNIQUE(_xlfn._xlws.FILTER($C$2:$C$1001,$B$2:$B$1001=B762)))=1,1,0)</f>
        <v>1</v>
      </c>
    </row>
    <row r="763" spans="1:11" x14ac:dyDescent="0.2">
      <c r="A763" t="s">
        <v>795</v>
      </c>
      <c r="B763" t="s">
        <v>788</v>
      </c>
      <c r="C763" t="s">
        <v>527</v>
      </c>
      <c r="D763" t="s">
        <v>1087</v>
      </c>
      <c r="E763">
        <v>8</v>
      </c>
      <c r="F763">
        <v>17779</v>
      </c>
      <c r="G763">
        <v>43.06</v>
      </c>
      <c r="H763">
        <v>1</v>
      </c>
      <c r="I763">
        <v>1</v>
      </c>
      <c r="J763">
        <v>1</v>
      </c>
      <c r="K763" cm="1">
        <f t="array" ref="K763">IF(COUNTA(_xlfn.UNIQUE(_xlfn._xlws.FILTER($C$2:$C$1001,$B$2:$B$1001=B763)))=1,1,0)</f>
        <v>1</v>
      </c>
    </row>
    <row r="764" spans="1:11" x14ac:dyDescent="0.2">
      <c r="A764" t="s">
        <v>796</v>
      </c>
      <c r="B764" t="s">
        <v>782</v>
      </c>
      <c r="C764" t="s">
        <v>18</v>
      </c>
      <c r="D764" t="s">
        <v>1085</v>
      </c>
      <c r="E764">
        <v>55</v>
      </c>
      <c r="F764">
        <v>19345</v>
      </c>
      <c r="G764">
        <v>47.14</v>
      </c>
      <c r="H764">
        <v>2</v>
      </c>
      <c r="I764">
        <v>1</v>
      </c>
      <c r="J764">
        <v>2</v>
      </c>
      <c r="K764" cm="1">
        <f t="array" ref="K764">IF(COUNTA(_xlfn.UNIQUE(_xlfn._xlws.FILTER($C$2:$C$1001,$B$2:$B$1001=B764)))=1,1,0)</f>
        <v>1</v>
      </c>
    </row>
    <row r="765" spans="1:11" x14ac:dyDescent="0.2">
      <c r="A765" t="s">
        <v>797</v>
      </c>
      <c r="B765" t="s">
        <v>788</v>
      </c>
      <c r="C765" t="s">
        <v>527</v>
      </c>
      <c r="D765" t="s">
        <v>1087</v>
      </c>
      <c r="E765">
        <v>32</v>
      </c>
      <c r="F765">
        <v>5969</v>
      </c>
      <c r="G765">
        <v>24.4</v>
      </c>
      <c r="H765">
        <v>1</v>
      </c>
      <c r="I765">
        <v>1</v>
      </c>
      <c r="J765">
        <v>1</v>
      </c>
      <c r="K765" cm="1">
        <f t="array" ref="K765">IF(COUNTA(_xlfn.UNIQUE(_xlfn._xlws.FILTER($C$2:$C$1001,$B$2:$B$1001=B765)))=1,1,0)</f>
        <v>1</v>
      </c>
    </row>
    <row r="766" spans="1:11" x14ac:dyDescent="0.2">
      <c r="A766" t="s">
        <v>798</v>
      </c>
      <c r="B766" t="s">
        <v>784</v>
      </c>
      <c r="C766" t="s">
        <v>527</v>
      </c>
      <c r="D766" t="s">
        <v>1086</v>
      </c>
      <c r="E766">
        <v>19</v>
      </c>
      <c r="F766">
        <v>11799</v>
      </c>
      <c r="G766">
        <v>36.68</v>
      </c>
      <c r="H766">
        <v>2</v>
      </c>
      <c r="I766">
        <v>3</v>
      </c>
      <c r="J766">
        <v>1</v>
      </c>
      <c r="K766" cm="1">
        <f t="array" ref="K766">IF(COUNTA(_xlfn.UNIQUE(_xlfn._xlws.FILTER($C$2:$C$1001,$B$2:$B$1001=B766)))=1,1,0)</f>
        <v>1</v>
      </c>
    </row>
    <row r="767" spans="1:11" x14ac:dyDescent="0.2">
      <c r="A767" t="s">
        <v>799</v>
      </c>
      <c r="B767" t="s">
        <v>784</v>
      </c>
      <c r="C767" t="s">
        <v>527</v>
      </c>
      <c r="D767" t="s">
        <v>1086</v>
      </c>
      <c r="E767">
        <v>68</v>
      </c>
      <c r="F767">
        <v>13001</v>
      </c>
      <c r="G767">
        <v>29.76</v>
      </c>
      <c r="H767">
        <v>2</v>
      </c>
      <c r="I767">
        <v>1</v>
      </c>
      <c r="J767">
        <v>2</v>
      </c>
      <c r="K767" cm="1">
        <f t="array" ref="K767">IF(COUNTA(_xlfn.UNIQUE(_xlfn._xlws.FILTER($C$2:$C$1001,$B$2:$B$1001=B767)))=1,1,0)</f>
        <v>1</v>
      </c>
    </row>
    <row r="768" spans="1:11" x14ac:dyDescent="0.2">
      <c r="A768" t="s">
        <v>800</v>
      </c>
      <c r="B768" t="s">
        <v>788</v>
      </c>
      <c r="C768" t="s">
        <v>527</v>
      </c>
      <c r="D768" t="s">
        <v>1087</v>
      </c>
      <c r="E768">
        <v>27</v>
      </c>
      <c r="F768">
        <v>9551</v>
      </c>
      <c r="G768">
        <v>47.51</v>
      </c>
      <c r="H768">
        <v>3</v>
      </c>
      <c r="I768">
        <v>2</v>
      </c>
      <c r="J768">
        <v>2</v>
      </c>
      <c r="K768" cm="1">
        <f t="array" ref="K768">IF(COUNTA(_xlfn.UNIQUE(_xlfn._xlws.FILTER($C$2:$C$1001,$B$2:$B$1001=B768)))=1,1,0)</f>
        <v>1</v>
      </c>
    </row>
    <row r="769" spans="1:11" x14ac:dyDescent="0.2">
      <c r="A769" t="s">
        <v>801</v>
      </c>
      <c r="B769" t="s">
        <v>784</v>
      </c>
      <c r="C769" t="s">
        <v>527</v>
      </c>
      <c r="D769" t="s">
        <v>1086</v>
      </c>
      <c r="E769">
        <v>37</v>
      </c>
      <c r="F769">
        <v>14663</v>
      </c>
      <c r="G769">
        <v>42.82</v>
      </c>
      <c r="H769">
        <v>1</v>
      </c>
      <c r="I769">
        <v>2</v>
      </c>
      <c r="J769">
        <v>2</v>
      </c>
      <c r="K769" cm="1">
        <f t="array" ref="K769">IF(COUNTA(_xlfn.UNIQUE(_xlfn._xlws.FILTER($C$2:$C$1001,$B$2:$B$1001=B769)))=1,1,0)</f>
        <v>1</v>
      </c>
    </row>
    <row r="770" spans="1:11" x14ac:dyDescent="0.2">
      <c r="A770" t="s">
        <v>802</v>
      </c>
      <c r="B770" t="s">
        <v>782</v>
      </c>
      <c r="C770" t="s">
        <v>18</v>
      </c>
      <c r="D770" t="s">
        <v>1085</v>
      </c>
      <c r="E770">
        <v>86</v>
      </c>
      <c r="F770">
        <v>16534</v>
      </c>
      <c r="G770">
        <v>31.86</v>
      </c>
      <c r="H770">
        <v>1</v>
      </c>
      <c r="I770">
        <v>1</v>
      </c>
      <c r="J770">
        <v>2</v>
      </c>
      <c r="K770" cm="1">
        <f t="array" ref="K770">IF(COUNTA(_xlfn.UNIQUE(_xlfn._xlws.FILTER($C$2:$C$1001,$B$2:$B$1001=B770)))=1,1,0)</f>
        <v>1</v>
      </c>
    </row>
    <row r="771" spans="1:11" x14ac:dyDescent="0.2">
      <c r="A771" t="s">
        <v>803</v>
      </c>
      <c r="B771" t="s">
        <v>784</v>
      </c>
      <c r="C771" t="s">
        <v>527</v>
      </c>
      <c r="D771" t="s">
        <v>1086</v>
      </c>
      <c r="E771">
        <v>34</v>
      </c>
      <c r="F771">
        <v>18653</v>
      </c>
      <c r="G771">
        <v>17.37</v>
      </c>
      <c r="H771">
        <v>1</v>
      </c>
      <c r="I771">
        <v>1</v>
      </c>
      <c r="J771">
        <v>1</v>
      </c>
      <c r="K771" cm="1">
        <f t="array" ref="K771">IF(COUNTA(_xlfn.UNIQUE(_xlfn._xlws.FILTER($C$2:$C$1001,$B$2:$B$1001=B771)))=1,1,0)</f>
        <v>1</v>
      </c>
    </row>
    <row r="772" spans="1:11" x14ac:dyDescent="0.2">
      <c r="A772" t="s">
        <v>804</v>
      </c>
      <c r="B772" t="s">
        <v>784</v>
      </c>
      <c r="C772" t="s">
        <v>527</v>
      </c>
      <c r="D772" t="s">
        <v>1086</v>
      </c>
      <c r="E772">
        <v>83</v>
      </c>
      <c r="F772">
        <v>15464</v>
      </c>
      <c r="G772">
        <v>42.78</v>
      </c>
      <c r="H772">
        <v>3</v>
      </c>
      <c r="I772">
        <v>2</v>
      </c>
      <c r="J772">
        <v>1</v>
      </c>
      <c r="K772" cm="1">
        <f t="array" ref="K772">IF(COUNTA(_xlfn.UNIQUE(_xlfn._xlws.FILTER($C$2:$C$1001,$B$2:$B$1001=B772)))=1,1,0)</f>
        <v>1</v>
      </c>
    </row>
    <row r="773" spans="1:11" x14ac:dyDescent="0.2">
      <c r="A773" t="s">
        <v>805</v>
      </c>
      <c r="B773" t="s">
        <v>782</v>
      </c>
      <c r="C773" t="s">
        <v>18</v>
      </c>
      <c r="D773" t="s">
        <v>1085</v>
      </c>
      <c r="E773">
        <v>48</v>
      </c>
      <c r="F773">
        <v>12131</v>
      </c>
      <c r="G773">
        <v>20.420000000000002</v>
      </c>
      <c r="H773">
        <v>1</v>
      </c>
      <c r="I773">
        <v>1</v>
      </c>
      <c r="J773">
        <v>2</v>
      </c>
      <c r="K773" cm="1">
        <f t="array" ref="K773">IF(COUNTA(_xlfn.UNIQUE(_xlfn._xlws.FILTER($C$2:$C$1001,$B$2:$B$1001=B773)))=1,1,0)</f>
        <v>1</v>
      </c>
    </row>
    <row r="774" spans="1:11" x14ac:dyDescent="0.2">
      <c r="A774" t="s">
        <v>806</v>
      </c>
      <c r="B774" t="s">
        <v>788</v>
      </c>
      <c r="C774" t="s">
        <v>527</v>
      </c>
      <c r="D774" t="s">
        <v>1087</v>
      </c>
      <c r="E774">
        <v>33</v>
      </c>
      <c r="F774">
        <v>6081</v>
      </c>
      <c r="G774">
        <v>21.35</v>
      </c>
      <c r="H774">
        <v>1</v>
      </c>
      <c r="I774">
        <v>1</v>
      </c>
      <c r="J774">
        <v>2</v>
      </c>
      <c r="K774" cm="1">
        <f t="array" ref="K774">IF(COUNTA(_xlfn.UNIQUE(_xlfn._xlws.FILTER($C$2:$C$1001,$B$2:$B$1001=B774)))=1,1,0)</f>
        <v>1</v>
      </c>
    </row>
    <row r="775" spans="1:11" x14ac:dyDescent="0.2">
      <c r="A775" t="s">
        <v>807</v>
      </c>
      <c r="B775" t="s">
        <v>793</v>
      </c>
      <c r="C775" t="s">
        <v>274</v>
      </c>
      <c r="D775" t="s">
        <v>1088</v>
      </c>
      <c r="E775">
        <v>64</v>
      </c>
      <c r="F775">
        <v>9760</v>
      </c>
      <c r="G775">
        <v>30.51</v>
      </c>
      <c r="H775">
        <v>1</v>
      </c>
      <c r="I775">
        <v>1</v>
      </c>
      <c r="J775">
        <v>2</v>
      </c>
      <c r="K775" cm="1">
        <f t="array" ref="K775">IF(COUNTA(_xlfn.UNIQUE(_xlfn._xlws.FILTER($C$2:$C$1001,$B$2:$B$1001=B775)))=1,1,0)</f>
        <v>1</v>
      </c>
    </row>
    <row r="776" spans="1:11" x14ac:dyDescent="0.2">
      <c r="A776" t="s">
        <v>808</v>
      </c>
      <c r="B776" t="s">
        <v>782</v>
      </c>
      <c r="C776" t="s">
        <v>18</v>
      </c>
      <c r="D776" t="s">
        <v>1085</v>
      </c>
      <c r="E776">
        <v>26</v>
      </c>
      <c r="F776">
        <v>18393</v>
      </c>
      <c r="G776">
        <v>12.83</v>
      </c>
      <c r="H776">
        <v>1</v>
      </c>
      <c r="I776">
        <v>1</v>
      </c>
      <c r="J776">
        <v>1</v>
      </c>
      <c r="K776" cm="1">
        <f t="array" ref="K776">IF(COUNTA(_xlfn.UNIQUE(_xlfn._xlws.FILTER($C$2:$C$1001,$B$2:$B$1001=B776)))=1,1,0)</f>
        <v>1</v>
      </c>
    </row>
    <row r="777" spans="1:11" x14ac:dyDescent="0.2">
      <c r="A777" t="s">
        <v>809</v>
      </c>
      <c r="B777" t="s">
        <v>788</v>
      </c>
      <c r="C777" t="s">
        <v>527</v>
      </c>
      <c r="D777" t="s">
        <v>1087</v>
      </c>
      <c r="E777">
        <v>9</v>
      </c>
      <c r="F777">
        <v>17224</v>
      </c>
      <c r="G777">
        <v>22</v>
      </c>
      <c r="H777">
        <v>1</v>
      </c>
      <c r="I777">
        <v>1</v>
      </c>
      <c r="J777">
        <v>1</v>
      </c>
      <c r="K777" cm="1">
        <f t="array" ref="K777">IF(COUNTA(_xlfn.UNIQUE(_xlfn._xlws.FILTER($C$2:$C$1001,$B$2:$B$1001=B777)))=1,1,0)</f>
        <v>1</v>
      </c>
    </row>
    <row r="778" spans="1:11" x14ac:dyDescent="0.2">
      <c r="A778" t="s">
        <v>810</v>
      </c>
      <c r="B778" t="s">
        <v>782</v>
      </c>
      <c r="C778" t="s">
        <v>18</v>
      </c>
      <c r="D778" t="s">
        <v>1085</v>
      </c>
      <c r="E778">
        <v>30</v>
      </c>
      <c r="F778">
        <v>18247</v>
      </c>
      <c r="G778">
        <v>18.71</v>
      </c>
      <c r="H778">
        <v>1</v>
      </c>
      <c r="I778">
        <v>1</v>
      </c>
      <c r="J778">
        <v>2</v>
      </c>
      <c r="K778" cm="1">
        <f t="array" ref="K778">IF(COUNTA(_xlfn.UNIQUE(_xlfn._xlws.FILTER($C$2:$C$1001,$B$2:$B$1001=B778)))=1,1,0)</f>
        <v>1</v>
      </c>
    </row>
    <row r="779" spans="1:11" x14ac:dyDescent="0.2">
      <c r="A779" t="s">
        <v>811</v>
      </c>
      <c r="B779" t="s">
        <v>788</v>
      </c>
      <c r="C779" t="s">
        <v>527</v>
      </c>
      <c r="D779" t="s">
        <v>1087</v>
      </c>
      <c r="E779">
        <v>60</v>
      </c>
      <c r="F779">
        <v>6507</v>
      </c>
      <c r="G779">
        <v>49.04</v>
      </c>
      <c r="H779">
        <v>3</v>
      </c>
      <c r="I779">
        <v>1</v>
      </c>
      <c r="J779">
        <v>2</v>
      </c>
      <c r="K779" cm="1">
        <f t="array" ref="K779">IF(COUNTA(_xlfn.UNIQUE(_xlfn._xlws.FILTER($C$2:$C$1001,$B$2:$B$1001=B779)))=1,1,0)</f>
        <v>1</v>
      </c>
    </row>
    <row r="780" spans="1:11" x14ac:dyDescent="0.2">
      <c r="A780" t="s">
        <v>812</v>
      </c>
      <c r="B780" t="s">
        <v>788</v>
      </c>
      <c r="C780" t="s">
        <v>527</v>
      </c>
      <c r="D780" t="s">
        <v>1087</v>
      </c>
      <c r="E780">
        <v>75</v>
      </c>
      <c r="F780">
        <v>19090</v>
      </c>
      <c r="G780">
        <v>37.340000000000003</v>
      </c>
      <c r="H780">
        <v>3</v>
      </c>
      <c r="I780">
        <v>2</v>
      </c>
      <c r="J780">
        <v>1</v>
      </c>
      <c r="K780" cm="1">
        <f t="array" ref="K780">IF(COUNTA(_xlfn.UNIQUE(_xlfn._xlws.FILTER($C$2:$C$1001,$B$2:$B$1001=B780)))=1,1,0)</f>
        <v>1</v>
      </c>
    </row>
    <row r="781" spans="1:11" x14ac:dyDescent="0.2">
      <c r="A781" t="s">
        <v>813</v>
      </c>
      <c r="B781" t="s">
        <v>788</v>
      </c>
      <c r="C781" t="s">
        <v>527</v>
      </c>
      <c r="D781" t="s">
        <v>1087</v>
      </c>
      <c r="E781">
        <v>77</v>
      </c>
      <c r="F781">
        <v>14697</v>
      </c>
      <c r="G781">
        <v>10.09</v>
      </c>
      <c r="H781">
        <v>1</v>
      </c>
      <c r="I781">
        <v>3</v>
      </c>
      <c r="J781">
        <v>1</v>
      </c>
      <c r="K781" cm="1">
        <f t="array" ref="K781">IF(COUNTA(_xlfn.UNIQUE(_xlfn._xlws.FILTER($C$2:$C$1001,$B$2:$B$1001=B781)))=1,1,0)</f>
        <v>1</v>
      </c>
    </row>
    <row r="782" spans="1:11" x14ac:dyDescent="0.2">
      <c r="A782" t="s">
        <v>814</v>
      </c>
      <c r="B782" t="s">
        <v>788</v>
      </c>
      <c r="C782" t="s">
        <v>527</v>
      </c>
      <c r="D782" t="s">
        <v>1087</v>
      </c>
      <c r="E782">
        <v>77</v>
      </c>
      <c r="F782">
        <v>7096</v>
      </c>
      <c r="G782">
        <v>20.36</v>
      </c>
      <c r="H782">
        <v>2</v>
      </c>
      <c r="I782">
        <v>1</v>
      </c>
      <c r="J782">
        <v>2</v>
      </c>
      <c r="K782" cm="1">
        <f t="array" ref="K782">IF(COUNTA(_xlfn.UNIQUE(_xlfn._xlws.FILTER($C$2:$C$1001,$B$2:$B$1001=B782)))=1,1,0)</f>
        <v>1</v>
      </c>
    </row>
    <row r="783" spans="1:11" x14ac:dyDescent="0.2">
      <c r="A783" t="s">
        <v>815</v>
      </c>
      <c r="B783" t="s">
        <v>784</v>
      </c>
      <c r="C783" t="s">
        <v>527</v>
      </c>
      <c r="D783" t="s">
        <v>1086</v>
      </c>
      <c r="E783">
        <v>36</v>
      </c>
      <c r="F783">
        <v>13867</v>
      </c>
      <c r="G783">
        <v>28.12</v>
      </c>
      <c r="H783">
        <v>1</v>
      </c>
      <c r="I783">
        <v>3</v>
      </c>
      <c r="J783">
        <v>2</v>
      </c>
      <c r="K783" cm="1">
        <f t="array" ref="K783">IF(COUNTA(_xlfn.UNIQUE(_xlfn._xlws.FILTER($C$2:$C$1001,$B$2:$B$1001=B783)))=1,1,0)</f>
        <v>1</v>
      </c>
    </row>
    <row r="784" spans="1:11" x14ac:dyDescent="0.2">
      <c r="A784" t="s">
        <v>816</v>
      </c>
      <c r="B784" t="s">
        <v>782</v>
      </c>
      <c r="C784" t="s">
        <v>18</v>
      </c>
      <c r="D784" t="s">
        <v>1085</v>
      </c>
      <c r="E784">
        <v>28</v>
      </c>
      <c r="F784">
        <v>14807</v>
      </c>
      <c r="G784">
        <v>32.979999999999997</v>
      </c>
      <c r="H784">
        <v>1</v>
      </c>
      <c r="I784">
        <v>2</v>
      </c>
      <c r="J784">
        <v>2</v>
      </c>
      <c r="K784" cm="1">
        <f t="array" ref="K784">IF(COUNTA(_xlfn.UNIQUE(_xlfn._xlws.FILTER($C$2:$C$1001,$B$2:$B$1001=B784)))=1,1,0)</f>
        <v>1</v>
      </c>
    </row>
    <row r="785" spans="1:11" x14ac:dyDescent="0.2">
      <c r="A785" t="s">
        <v>817</v>
      </c>
      <c r="B785" t="s">
        <v>784</v>
      </c>
      <c r="C785" t="s">
        <v>527</v>
      </c>
      <c r="D785" t="s">
        <v>1086</v>
      </c>
      <c r="E785">
        <v>56</v>
      </c>
      <c r="F785">
        <v>19516</v>
      </c>
      <c r="G785">
        <v>17.89</v>
      </c>
      <c r="H785">
        <v>1</v>
      </c>
      <c r="I785">
        <v>1</v>
      </c>
      <c r="J785">
        <v>2</v>
      </c>
      <c r="K785" cm="1">
        <f t="array" ref="K785">IF(COUNTA(_xlfn.UNIQUE(_xlfn._xlws.FILTER($C$2:$C$1001,$B$2:$B$1001=B785)))=1,1,0)</f>
        <v>1</v>
      </c>
    </row>
    <row r="786" spans="1:11" x14ac:dyDescent="0.2">
      <c r="A786" t="s">
        <v>818</v>
      </c>
      <c r="B786" t="s">
        <v>784</v>
      </c>
      <c r="C786" t="s">
        <v>527</v>
      </c>
      <c r="D786" t="s">
        <v>1086</v>
      </c>
      <c r="E786">
        <v>45</v>
      </c>
      <c r="F786">
        <v>6044</v>
      </c>
      <c r="G786">
        <v>31.49</v>
      </c>
      <c r="H786">
        <v>2</v>
      </c>
      <c r="I786">
        <v>3</v>
      </c>
      <c r="J786">
        <v>2</v>
      </c>
      <c r="K786" cm="1">
        <f t="array" ref="K786">IF(COUNTA(_xlfn.UNIQUE(_xlfn._xlws.FILTER($C$2:$C$1001,$B$2:$B$1001=B786)))=1,1,0)</f>
        <v>1</v>
      </c>
    </row>
    <row r="787" spans="1:11" x14ac:dyDescent="0.2">
      <c r="A787" t="s">
        <v>819</v>
      </c>
      <c r="B787" t="s">
        <v>793</v>
      </c>
      <c r="C787" t="s">
        <v>274</v>
      </c>
      <c r="D787" t="s">
        <v>1088</v>
      </c>
      <c r="E787">
        <v>84</v>
      </c>
      <c r="F787">
        <v>12503</v>
      </c>
      <c r="G787">
        <v>28.22</v>
      </c>
      <c r="H787">
        <v>1</v>
      </c>
      <c r="I787">
        <v>3</v>
      </c>
      <c r="J787">
        <v>2</v>
      </c>
      <c r="K787" cm="1">
        <f t="array" ref="K787">IF(COUNTA(_xlfn.UNIQUE(_xlfn._xlws.FILTER($C$2:$C$1001,$B$2:$B$1001=B787)))=1,1,0)</f>
        <v>1</v>
      </c>
    </row>
    <row r="788" spans="1:11" x14ac:dyDescent="0.2">
      <c r="A788" t="s">
        <v>820</v>
      </c>
      <c r="B788" t="s">
        <v>793</v>
      </c>
      <c r="C788" t="s">
        <v>274</v>
      </c>
      <c r="D788" t="s">
        <v>1088</v>
      </c>
      <c r="E788">
        <v>64</v>
      </c>
      <c r="F788">
        <v>5237</v>
      </c>
      <c r="G788">
        <v>37.67</v>
      </c>
      <c r="H788">
        <v>2</v>
      </c>
      <c r="I788">
        <v>2</v>
      </c>
      <c r="J788">
        <v>2</v>
      </c>
      <c r="K788" cm="1">
        <f t="array" ref="K788">IF(COUNTA(_xlfn.UNIQUE(_xlfn._xlws.FILTER($C$2:$C$1001,$B$2:$B$1001=B788)))=1,1,0)</f>
        <v>1</v>
      </c>
    </row>
    <row r="789" spans="1:11" x14ac:dyDescent="0.2">
      <c r="A789" t="s">
        <v>821</v>
      </c>
      <c r="B789" t="s">
        <v>788</v>
      </c>
      <c r="C789" t="s">
        <v>527</v>
      </c>
      <c r="D789" t="s">
        <v>1087</v>
      </c>
      <c r="E789">
        <v>13</v>
      </c>
      <c r="F789">
        <v>16560</v>
      </c>
      <c r="G789">
        <v>21</v>
      </c>
      <c r="H789">
        <v>1</v>
      </c>
      <c r="I789">
        <v>1</v>
      </c>
      <c r="J789">
        <v>1</v>
      </c>
      <c r="K789" cm="1">
        <f t="array" ref="K789">IF(COUNTA(_xlfn.UNIQUE(_xlfn._xlws.FILTER($C$2:$C$1001,$B$2:$B$1001=B789)))=1,1,0)</f>
        <v>1</v>
      </c>
    </row>
    <row r="790" spans="1:11" x14ac:dyDescent="0.2">
      <c r="A790" t="s">
        <v>822</v>
      </c>
      <c r="B790" t="s">
        <v>782</v>
      </c>
      <c r="C790" t="s">
        <v>18</v>
      </c>
      <c r="D790" t="s">
        <v>1085</v>
      </c>
      <c r="E790">
        <v>87</v>
      </c>
      <c r="F790">
        <v>16600</v>
      </c>
      <c r="G790">
        <v>22.41</v>
      </c>
      <c r="H790">
        <v>1</v>
      </c>
      <c r="I790">
        <v>3</v>
      </c>
      <c r="J790">
        <v>2</v>
      </c>
      <c r="K790" cm="1">
        <f t="array" ref="K790">IF(COUNTA(_xlfn.UNIQUE(_xlfn._xlws.FILTER($C$2:$C$1001,$B$2:$B$1001=B790)))=1,1,0)</f>
        <v>1</v>
      </c>
    </row>
    <row r="791" spans="1:11" x14ac:dyDescent="0.2">
      <c r="A791" t="s">
        <v>823</v>
      </c>
      <c r="B791" t="s">
        <v>793</v>
      </c>
      <c r="C791" t="s">
        <v>274</v>
      </c>
      <c r="D791" t="s">
        <v>1088</v>
      </c>
      <c r="E791">
        <v>63</v>
      </c>
      <c r="F791">
        <v>18216</v>
      </c>
      <c r="G791">
        <v>39.5</v>
      </c>
      <c r="H791">
        <v>1</v>
      </c>
      <c r="I791">
        <v>2</v>
      </c>
      <c r="J791">
        <v>2</v>
      </c>
      <c r="K791" cm="1">
        <f t="array" ref="K791">IF(COUNTA(_xlfn.UNIQUE(_xlfn._xlws.FILTER($C$2:$C$1001,$B$2:$B$1001=B791)))=1,1,0)</f>
        <v>1</v>
      </c>
    </row>
    <row r="792" spans="1:11" x14ac:dyDescent="0.2">
      <c r="A792" t="s">
        <v>824</v>
      </c>
      <c r="B792" t="s">
        <v>793</v>
      </c>
      <c r="C792" t="s">
        <v>274</v>
      </c>
      <c r="D792" t="s">
        <v>1088</v>
      </c>
      <c r="E792">
        <v>10</v>
      </c>
      <c r="F792">
        <v>11533</v>
      </c>
      <c r="G792">
        <v>38.840000000000003</v>
      </c>
      <c r="H792">
        <v>2</v>
      </c>
      <c r="I792">
        <v>1</v>
      </c>
      <c r="J792">
        <v>2</v>
      </c>
      <c r="K792" cm="1">
        <f t="array" ref="K792">IF(COUNTA(_xlfn.UNIQUE(_xlfn._xlws.FILTER($C$2:$C$1001,$B$2:$B$1001=B792)))=1,1,0)</f>
        <v>1</v>
      </c>
    </row>
    <row r="793" spans="1:11" x14ac:dyDescent="0.2">
      <c r="A793" t="s">
        <v>825</v>
      </c>
      <c r="B793" t="s">
        <v>782</v>
      </c>
      <c r="C793" t="s">
        <v>18</v>
      </c>
      <c r="D793" t="s">
        <v>1085</v>
      </c>
      <c r="E793">
        <v>68</v>
      </c>
      <c r="F793">
        <v>16494</v>
      </c>
      <c r="G793">
        <v>13.82</v>
      </c>
      <c r="H793">
        <v>3</v>
      </c>
      <c r="I793">
        <v>2</v>
      </c>
      <c r="J793">
        <v>2</v>
      </c>
      <c r="K793" cm="1">
        <f t="array" ref="K793">IF(COUNTA(_xlfn.UNIQUE(_xlfn._xlws.FILTER($C$2:$C$1001,$B$2:$B$1001=B793)))=1,1,0)</f>
        <v>1</v>
      </c>
    </row>
    <row r="794" spans="1:11" x14ac:dyDescent="0.2">
      <c r="A794" t="s">
        <v>826</v>
      </c>
      <c r="B794" t="s">
        <v>782</v>
      </c>
      <c r="C794" t="s">
        <v>18</v>
      </c>
      <c r="D794" t="s">
        <v>1085</v>
      </c>
      <c r="E794">
        <v>63</v>
      </c>
      <c r="F794">
        <v>19033</v>
      </c>
      <c r="G794">
        <v>10.68</v>
      </c>
      <c r="H794">
        <v>2</v>
      </c>
      <c r="I794">
        <v>1</v>
      </c>
      <c r="J794">
        <v>2</v>
      </c>
      <c r="K794" cm="1">
        <f t="array" ref="K794">IF(COUNTA(_xlfn.UNIQUE(_xlfn._xlws.FILTER($C$2:$C$1001,$B$2:$B$1001=B794)))=1,1,0)</f>
        <v>1</v>
      </c>
    </row>
    <row r="795" spans="1:11" x14ac:dyDescent="0.2">
      <c r="A795" t="s">
        <v>827</v>
      </c>
      <c r="B795" t="s">
        <v>782</v>
      </c>
      <c r="C795" t="s">
        <v>18</v>
      </c>
      <c r="D795" t="s">
        <v>1085</v>
      </c>
      <c r="E795">
        <v>75</v>
      </c>
      <c r="F795">
        <v>8936</v>
      </c>
      <c r="G795">
        <v>26.55</v>
      </c>
      <c r="H795">
        <v>1</v>
      </c>
      <c r="I795">
        <v>1</v>
      </c>
      <c r="J795">
        <v>2</v>
      </c>
      <c r="K795" cm="1">
        <f t="array" ref="K795">IF(COUNTA(_xlfn.UNIQUE(_xlfn._xlws.FILTER($C$2:$C$1001,$B$2:$B$1001=B795)))=1,1,0)</f>
        <v>1</v>
      </c>
    </row>
    <row r="796" spans="1:11" x14ac:dyDescent="0.2">
      <c r="A796" t="s">
        <v>828</v>
      </c>
      <c r="B796" t="s">
        <v>788</v>
      </c>
      <c r="C796" t="s">
        <v>527</v>
      </c>
      <c r="D796" t="s">
        <v>1087</v>
      </c>
      <c r="E796">
        <v>9</v>
      </c>
      <c r="F796">
        <v>12456</v>
      </c>
      <c r="G796">
        <v>12.47</v>
      </c>
      <c r="H796">
        <v>1</v>
      </c>
      <c r="I796">
        <v>1</v>
      </c>
      <c r="J796">
        <v>2</v>
      </c>
      <c r="K796" cm="1">
        <f t="array" ref="K796">IF(COUNTA(_xlfn.UNIQUE(_xlfn._xlws.FILTER($C$2:$C$1001,$B$2:$B$1001=B796)))=1,1,0)</f>
        <v>1</v>
      </c>
    </row>
    <row r="797" spans="1:11" x14ac:dyDescent="0.2">
      <c r="A797" t="s">
        <v>829</v>
      </c>
      <c r="B797" t="s">
        <v>782</v>
      </c>
      <c r="C797" t="s">
        <v>18</v>
      </c>
      <c r="D797" t="s">
        <v>1085</v>
      </c>
      <c r="E797">
        <v>57</v>
      </c>
      <c r="F797">
        <v>11041</v>
      </c>
      <c r="G797">
        <v>13.54</v>
      </c>
      <c r="H797">
        <v>1</v>
      </c>
      <c r="I797">
        <v>1</v>
      </c>
      <c r="J797">
        <v>2</v>
      </c>
      <c r="K797" cm="1">
        <f t="array" ref="K797">IF(COUNTA(_xlfn.UNIQUE(_xlfn._xlws.FILTER($C$2:$C$1001,$B$2:$B$1001=B797)))=1,1,0)</f>
        <v>1</v>
      </c>
    </row>
    <row r="798" spans="1:11" x14ac:dyDescent="0.2">
      <c r="A798" t="s">
        <v>830</v>
      </c>
      <c r="B798" t="s">
        <v>793</v>
      </c>
      <c r="C798" t="s">
        <v>274</v>
      </c>
      <c r="D798" t="s">
        <v>1088</v>
      </c>
      <c r="E798">
        <v>50</v>
      </c>
      <c r="F798">
        <v>5470</v>
      </c>
      <c r="G798">
        <v>15.51</v>
      </c>
      <c r="H798">
        <v>1</v>
      </c>
      <c r="I798">
        <v>1</v>
      </c>
      <c r="J798">
        <v>1</v>
      </c>
      <c r="K798" cm="1">
        <f t="array" ref="K798">IF(COUNTA(_xlfn.UNIQUE(_xlfn._xlws.FILTER($C$2:$C$1001,$B$2:$B$1001=B798)))=1,1,0)</f>
        <v>1</v>
      </c>
    </row>
    <row r="799" spans="1:11" x14ac:dyDescent="0.2">
      <c r="A799" t="s">
        <v>831</v>
      </c>
      <c r="B799" t="s">
        <v>784</v>
      </c>
      <c r="C799" t="s">
        <v>527</v>
      </c>
      <c r="D799" t="s">
        <v>1086</v>
      </c>
      <c r="E799">
        <v>50</v>
      </c>
      <c r="F799">
        <v>15591</v>
      </c>
      <c r="G799">
        <v>41.46</v>
      </c>
      <c r="H799">
        <v>1</v>
      </c>
      <c r="I799">
        <v>2</v>
      </c>
      <c r="J799">
        <v>2</v>
      </c>
      <c r="K799" cm="1">
        <f t="array" ref="K799">IF(COUNTA(_xlfn.UNIQUE(_xlfn._xlws.FILTER($C$2:$C$1001,$B$2:$B$1001=B799)))=1,1,0)</f>
        <v>1</v>
      </c>
    </row>
    <row r="800" spans="1:11" x14ac:dyDescent="0.2">
      <c r="A800" t="s">
        <v>832</v>
      </c>
      <c r="B800" t="s">
        <v>782</v>
      </c>
      <c r="C800" t="s">
        <v>18</v>
      </c>
      <c r="D800" t="s">
        <v>1085</v>
      </c>
      <c r="E800">
        <v>76</v>
      </c>
      <c r="F800">
        <v>15200</v>
      </c>
      <c r="G800">
        <v>16.96</v>
      </c>
      <c r="H800">
        <v>3</v>
      </c>
      <c r="I800">
        <v>3</v>
      </c>
      <c r="J800">
        <v>2</v>
      </c>
      <c r="K800" cm="1">
        <f t="array" ref="K800">IF(COUNTA(_xlfn.UNIQUE(_xlfn._xlws.FILTER($C$2:$C$1001,$B$2:$B$1001=B800)))=1,1,0)</f>
        <v>1</v>
      </c>
    </row>
    <row r="801" spans="1:11" x14ac:dyDescent="0.2">
      <c r="A801" t="s">
        <v>833</v>
      </c>
      <c r="B801" t="s">
        <v>782</v>
      </c>
      <c r="C801" t="s">
        <v>18</v>
      </c>
      <c r="D801" t="s">
        <v>1085</v>
      </c>
      <c r="E801">
        <v>49</v>
      </c>
      <c r="F801">
        <v>7073</v>
      </c>
      <c r="G801">
        <v>49.85</v>
      </c>
      <c r="H801">
        <v>1</v>
      </c>
      <c r="I801">
        <v>1</v>
      </c>
      <c r="J801">
        <v>1</v>
      </c>
      <c r="K801" cm="1">
        <f t="array" ref="K801">IF(COUNTA(_xlfn.UNIQUE(_xlfn._xlws.FILTER($C$2:$C$1001,$B$2:$B$1001=B801)))=1,1,0)</f>
        <v>1</v>
      </c>
    </row>
    <row r="802" spans="1:11" x14ac:dyDescent="0.2">
      <c r="A802" t="s">
        <v>834</v>
      </c>
      <c r="B802" t="s">
        <v>784</v>
      </c>
      <c r="C802" t="s">
        <v>527</v>
      </c>
      <c r="D802" t="s">
        <v>1086</v>
      </c>
      <c r="E802">
        <v>24</v>
      </c>
      <c r="F802">
        <v>7032</v>
      </c>
      <c r="G802">
        <v>45.46</v>
      </c>
      <c r="H802">
        <v>3</v>
      </c>
      <c r="I802">
        <v>1</v>
      </c>
      <c r="J802">
        <v>2</v>
      </c>
      <c r="K802" cm="1">
        <f t="array" ref="K802">IF(COUNTA(_xlfn.UNIQUE(_xlfn._xlws.FILTER($C$2:$C$1001,$B$2:$B$1001=B802)))=1,1,0)</f>
        <v>1</v>
      </c>
    </row>
    <row r="803" spans="1:11" x14ac:dyDescent="0.2">
      <c r="A803" t="s">
        <v>835</v>
      </c>
      <c r="B803" t="s">
        <v>793</v>
      </c>
      <c r="C803" t="s">
        <v>274</v>
      </c>
      <c r="D803" t="s">
        <v>1088</v>
      </c>
      <c r="E803">
        <v>36</v>
      </c>
      <c r="F803">
        <v>9651</v>
      </c>
      <c r="G803">
        <v>11.15</v>
      </c>
      <c r="H803">
        <v>2</v>
      </c>
      <c r="I803">
        <v>2</v>
      </c>
      <c r="J803">
        <v>2</v>
      </c>
      <c r="K803" cm="1">
        <f t="array" ref="K803">IF(COUNTA(_xlfn.UNIQUE(_xlfn._xlws.FILTER($C$2:$C$1001,$B$2:$B$1001=B803)))=1,1,0)</f>
        <v>1</v>
      </c>
    </row>
    <row r="804" spans="1:11" x14ac:dyDescent="0.2">
      <c r="A804" t="s">
        <v>836</v>
      </c>
      <c r="B804" t="s">
        <v>784</v>
      </c>
      <c r="C804" t="s">
        <v>527</v>
      </c>
      <c r="D804" t="s">
        <v>1086</v>
      </c>
      <c r="E804">
        <v>81</v>
      </c>
      <c r="F804">
        <v>12282</v>
      </c>
      <c r="G804">
        <v>48.36</v>
      </c>
      <c r="H804">
        <v>3</v>
      </c>
      <c r="I804">
        <v>1</v>
      </c>
      <c r="J804">
        <v>2</v>
      </c>
      <c r="K804" cm="1">
        <f t="array" ref="K804">IF(COUNTA(_xlfn.UNIQUE(_xlfn._xlws.FILTER($C$2:$C$1001,$B$2:$B$1001=B804)))=1,1,0)</f>
        <v>1</v>
      </c>
    </row>
    <row r="805" spans="1:11" x14ac:dyDescent="0.2">
      <c r="A805" t="s">
        <v>837</v>
      </c>
      <c r="B805" t="s">
        <v>788</v>
      </c>
      <c r="C805" t="s">
        <v>527</v>
      </c>
      <c r="D805" t="s">
        <v>1087</v>
      </c>
      <c r="E805">
        <v>89</v>
      </c>
      <c r="F805">
        <v>18210</v>
      </c>
      <c r="G805">
        <v>37.590000000000003</v>
      </c>
      <c r="H805">
        <v>3</v>
      </c>
      <c r="I805">
        <v>2</v>
      </c>
      <c r="J805">
        <v>2</v>
      </c>
      <c r="K805" cm="1">
        <f t="array" ref="K805">IF(COUNTA(_xlfn.UNIQUE(_xlfn._xlws.FILTER($C$2:$C$1001,$B$2:$B$1001=B805)))=1,1,0)</f>
        <v>1</v>
      </c>
    </row>
    <row r="806" spans="1:11" x14ac:dyDescent="0.2">
      <c r="A806" t="s">
        <v>838</v>
      </c>
      <c r="B806" t="s">
        <v>784</v>
      </c>
      <c r="C806" t="s">
        <v>527</v>
      </c>
      <c r="D806" t="s">
        <v>1086</v>
      </c>
      <c r="E806">
        <v>22</v>
      </c>
      <c r="F806">
        <v>12867</v>
      </c>
      <c r="G806">
        <v>40.020000000000003</v>
      </c>
      <c r="H806">
        <v>1</v>
      </c>
      <c r="I806">
        <v>3</v>
      </c>
      <c r="J806">
        <v>1</v>
      </c>
      <c r="K806" cm="1">
        <f t="array" ref="K806">IF(COUNTA(_xlfn.UNIQUE(_xlfn._xlws.FILTER($C$2:$C$1001,$B$2:$B$1001=B806)))=1,1,0)</f>
        <v>1</v>
      </c>
    </row>
    <row r="807" spans="1:11" x14ac:dyDescent="0.2">
      <c r="A807" t="s">
        <v>839</v>
      </c>
      <c r="B807" t="s">
        <v>788</v>
      </c>
      <c r="C807" t="s">
        <v>527</v>
      </c>
      <c r="D807" t="s">
        <v>1087</v>
      </c>
      <c r="E807">
        <v>55</v>
      </c>
      <c r="F807">
        <v>10191</v>
      </c>
      <c r="G807">
        <v>17.12</v>
      </c>
      <c r="H807">
        <v>1</v>
      </c>
      <c r="I807">
        <v>1</v>
      </c>
      <c r="J807">
        <v>1</v>
      </c>
      <c r="K807" cm="1">
        <f t="array" ref="K807">IF(COUNTA(_xlfn.UNIQUE(_xlfn._xlws.FILTER($C$2:$C$1001,$B$2:$B$1001=B807)))=1,1,0)</f>
        <v>1</v>
      </c>
    </row>
    <row r="808" spans="1:11" x14ac:dyDescent="0.2">
      <c r="A808" t="s">
        <v>840</v>
      </c>
      <c r="B808" t="s">
        <v>782</v>
      </c>
      <c r="C808" t="s">
        <v>18</v>
      </c>
      <c r="D808" t="s">
        <v>1085</v>
      </c>
      <c r="E808">
        <v>24</v>
      </c>
      <c r="F808">
        <v>16675</v>
      </c>
      <c r="G808">
        <v>39.56</v>
      </c>
      <c r="H808">
        <v>1</v>
      </c>
      <c r="I808">
        <v>3</v>
      </c>
      <c r="J808">
        <v>1</v>
      </c>
      <c r="K808" cm="1">
        <f t="array" ref="K808">IF(COUNTA(_xlfn.UNIQUE(_xlfn._xlws.FILTER($C$2:$C$1001,$B$2:$B$1001=B808)))=1,1,0)</f>
        <v>1</v>
      </c>
    </row>
    <row r="809" spans="1:11" x14ac:dyDescent="0.2">
      <c r="A809" t="s">
        <v>841</v>
      </c>
      <c r="B809" t="s">
        <v>782</v>
      </c>
      <c r="C809" t="s">
        <v>18</v>
      </c>
      <c r="D809" t="s">
        <v>1085</v>
      </c>
      <c r="E809">
        <v>44</v>
      </c>
      <c r="F809">
        <v>16980</v>
      </c>
      <c r="G809">
        <v>46.47</v>
      </c>
      <c r="H809">
        <v>1</v>
      </c>
      <c r="I809">
        <v>1</v>
      </c>
      <c r="J809">
        <v>1</v>
      </c>
      <c r="K809" cm="1">
        <f t="array" ref="K809">IF(COUNTA(_xlfn.UNIQUE(_xlfn._xlws.FILTER($C$2:$C$1001,$B$2:$B$1001=B809)))=1,1,0)</f>
        <v>1</v>
      </c>
    </row>
    <row r="810" spans="1:11" x14ac:dyDescent="0.2">
      <c r="A810" t="s">
        <v>842</v>
      </c>
      <c r="B810" t="s">
        <v>782</v>
      </c>
      <c r="C810" t="s">
        <v>18</v>
      </c>
      <c r="D810" t="s">
        <v>1085</v>
      </c>
      <c r="E810">
        <v>78</v>
      </c>
      <c r="F810">
        <v>5677</v>
      </c>
      <c r="G810">
        <v>42.03</v>
      </c>
      <c r="H810">
        <v>2</v>
      </c>
      <c r="I810">
        <v>1</v>
      </c>
      <c r="J810">
        <v>2</v>
      </c>
      <c r="K810" cm="1">
        <f t="array" ref="K810">IF(COUNTA(_xlfn.UNIQUE(_xlfn._xlws.FILTER($C$2:$C$1001,$B$2:$B$1001=B810)))=1,1,0)</f>
        <v>1</v>
      </c>
    </row>
    <row r="811" spans="1:11" x14ac:dyDescent="0.2">
      <c r="A811" t="s">
        <v>843</v>
      </c>
      <c r="B811" t="s">
        <v>784</v>
      </c>
      <c r="C811" t="s">
        <v>527</v>
      </c>
      <c r="D811" t="s">
        <v>1086</v>
      </c>
      <c r="E811">
        <v>12</v>
      </c>
      <c r="F811">
        <v>19236</v>
      </c>
      <c r="G811">
        <v>28.56</v>
      </c>
      <c r="H811">
        <v>2</v>
      </c>
      <c r="I811">
        <v>1</v>
      </c>
      <c r="J811">
        <v>2</v>
      </c>
      <c r="K811" cm="1">
        <f t="array" ref="K811">IF(COUNTA(_xlfn.UNIQUE(_xlfn._xlws.FILTER($C$2:$C$1001,$B$2:$B$1001=B811)))=1,1,0)</f>
        <v>1</v>
      </c>
    </row>
    <row r="812" spans="1:11" x14ac:dyDescent="0.2">
      <c r="A812" t="s">
        <v>844</v>
      </c>
      <c r="B812" t="s">
        <v>782</v>
      </c>
      <c r="C812" t="s">
        <v>18</v>
      </c>
      <c r="D812" t="s">
        <v>1085</v>
      </c>
      <c r="E812">
        <v>19</v>
      </c>
      <c r="F812">
        <v>14493</v>
      </c>
      <c r="G812">
        <v>35.26</v>
      </c>
      <c r="H812">
        <v>2</v>
      </c>
      <c r="I812">
        <v>2</v>
      </c>
      <c r="J812">
        <v>1</v>
      </c>
      <c r="K812" cm="1">
        <f t="array" ref="K812">IF(COUNTA(_xlfn.UNIQUE(_xlfn._xlws.FILTER($C$2:$C$1001,$B$2:$B$1001=B812)))=1,1,0)</f>
        <v>1</v>
      </c>
    </row>
    <row r="813" spans="1:11" x14ac:dyDescent="0.2">
      <c r="A813" t="s">
        <v>845</v>
      </c>
      <c r="B813" t="s">
        <v>793</v>
      </c>
      <c r="C813" t="s">
        <v>274</v>
      </c>
      <c r="D813" t="s">
        <v>1088</v>
      </c>
      <c r="E813">
        <v>19</v>
      </c>
      <c r="F813">
        <v>5250</v>
      </c>
      <c r="G813">
        <v>41.12</v>
      </c>
      <c r="H813">
        <v>1</v>
      </c>
      <c r="I813">
        <v>1</v>
      </c>
      <c r="J813">
        <v>1</v>
      </c>
      <c r="K813" cm="1">
        <f t="array" ref="K813">IF(COUNTA(_xlfn.UNIQUE(_xlfn._xlws.FILTER($C$2:$C$1001,$B$2:$B$1001=B813)))=1,1,0)</f>
        <v>1</v>
      </c>
    </row>
    <row r="814" spans="1:11" x14ac:dyDescent="0.2">
      <c r="A814" t="s">
        <v>846</v>
      </c>
      <c r="B814" t="s">
        <v>782</v>
      </c>
      <c r="C814" t="s">
        <v>18</v>
      </c>
      <c r="D814" t="s">
        <v>1085</v>
      </c>
      <c r="E814">
        <v>54</v>
      </c>
      <c r="F814">
        <v>18029</v>
      </c>
      <c r="G814">
        <v>26.76</v>
      </c>
      <c r="H814">
        <v>2</v>
      </c>
      <c r="I814">
        <v>2</v>
      </c>
      <c r="J814">
        <v>1</v>
      </c>
      <c r="K814" cm="1">
        <f t="array" ref="K814">IF(COUNTA(_xlfn.UNIQUE(_xlfn._xlws.FILTER($C$2:$C$1001,$B$2:$B$1001=B814)))=1,1,0)</f>
        <v>1</v>
      </c>
    </row>
    <row r="815" spans="1:11" x14ac:dyDescent="0.2">
      <c r="A815" t="s">
        <v>847</v>
      </c>
      <c r="B815" t="s">
        <v>784</v>
      </c>
      <c r="C815" t="s">
        <v>527</v>
      </c>
      <c r="D815" t="s">
        <v>1086</v>
      </c>
      <c r="E815">
        <v>17</v>
      </c>
      <c r="F815">
        <v>9710</v>
      </c>
      <c r="G815">
        <v>14.38</v>
      </c>
      <c r="H815">
        <v>1</v>
      </c>
      <c r="I815">
        <v>2</v>
      </c>
      <c r="J815">
        <v>1</v>
      </c>
      <c r="K815" cm="1">
        <f t="array" ref="K815">IF(COUNTA(_xlfn.UNIQUE(_xlfn._xlws.FILTER($C$2:$C$1001,$B$2:$B$1001=B815)))=1,1,0)</f>
        <v>1</v>
      </c>
    </row>
    <row r="816" spans="1:11" x14ac:dyDescent="0.2">
      <c r="A816" t="s">
        <v>848</v>
      </c>
      <c r="B816" t="s">
        <v>793</v>
      </c>
      <c r="C816" t="s">
        <v>274</v>
      </c>
      <c r="D816" t="s">
        <v>1088</v>
      </c>
      <c r="E816">
        <v>8</v>
      </c>
      <c r="F816">
        <v>8675</v>
      </c>
      <c r="G816">
        <v>41.07</v>
      </c>
      <c r="H816">
        <v>1</v>
      </c>
      <c r="I816">
        <v>1</v>
      </c>
      <c r="J816">
        <v>1</v>
      </c>
      <c r="K816" cm="1">
        <f t="array" ref="K816">IF(COUNTA(_xlfn.UNIQUE(_xlfn._xlws.FILTER($C$2:$C$1001,$B$2:$B$1001=B816)))=1,1,0)</f>
        <v>1</v>
      </c>
    </row>
    <row r="817" spans="1:11" x14ac:dyDescent="0.2">
      <c r="A817" t="s">
        <v>849</v>
      </c>
      <c r="B817" t="s">
        <v>793</v>
      </c>
      <c r="C817" t="s">
        <v>274</v>
      </c>
      <c r="D817" t="s">
        <v>1088</v>
      </c>
      <c r="E817">
        <v>52</v>
      </c>
      <c r="F817">
        <v>8170</v>
      </c>
      <c r="G817">
        <v>49.52</v>
      </c>
      <c r="H817">
        <v>2</v>
      </c>
      <c r="I817">
        <v>2</v>
      </c>
      <c r="J817">
        <v>2</v>
      </c>
      <c r="K817" cm="1">
        <f t="array" ref="K817">IF(COUNTA(_xlfn.UNIQUE(_xlfn._xlws.FILTER($C$2:$C$1001,$B$2:$B$1001=B817)))=1,1,0)</f>
        <v>1</v>
      </c>
    </row>
    <row r="818" spans="1:11" x14ac:dyDescent="0.2">
      <c r="A818" t="s">
        <v>850</v>
      </c>
      <c r="B818" t="s">
        <v>793</v>
      </c>
      <c r="C818" t="s">
        <v>274</v>
      </c>
      <c r="D818" t="s">
        <v>1088</v>
      </c>
      <c r="E818">
        <v>55</v>
      </c>
      <c r="F818">
        <v>14019</v>
      </c>
      <c r="G818">
        <v>21.25</v>
      </c>
      <c r="H818">
        <v>2</v>
      </c>
      <c r="I818">
        <v>2</v>
      </c>
      <c r="J818">
        <v>1</v>
      </c>
      <c r="K818" cm="1">
        <f t="array" ref="K818">IF(COUNTA(_xlfn.UNIQUE(_xlfn._xlws.FILTER($C$2:$C$1001,$B$2:$B$1001=B818)))=1,1,0)</f>
        <v>1</v>
      </c>
    </row>
    <row r="819" spans="1:11" x14ac:dyDescent="0.2">
      <c r="A819" t="s">
        <v>851</v>
      </c>
      <c r="B819" t="s">
        <v>784</v>
      </c>
      <c r="C819" t="s">
        <v>527</v>
      </c>
      <c r="D819" t="s">
        <v>1086</v>
      </c>
      <c r="E819">
        <v>32</v>
      </c>
      <c r="F819">
        <v>8735</v>
      </c>
      <c r="G819">
        <v>21.98</v>
      </c>
      <c r="H819">
        <v>3</v>
      </c>
      <c r="I819">
        <v>3</v>
      </c>
      <c r="J819">
        <v>1</v>
      </c>
      <c r="K819" cm="1">
        <f t="array" ref="K819">IF(COUNTA(_xlfn.UNIQUE(_xlfn._xlws.FILTER($C$2:$C$1001,$B$2:$B$1001=B819)))=1,1,0)</f>
        <v>1</v>
      </c>
    </row>
    <row r="820" spans="1:11" x14ac:dyDescent="0.2">
      <c r="A820" t="s">
        <v>852</v>
      </c>
      <c r="B820" t="s">
        <v>793</v>
      </c>
      <c r="C820" t="s">
        <v>274</v>
      </c>
      <c r="D820" t="s">
        <v>1088</v>
      </c>
      <c r="E820">
        <v>44</v>
      </c>
      <c r="F820">
        <v>6460</v>
      </c>
      <c r="G820">
        <v>41.6</v>
      </c>
      <c r="H820">
        <v>1</v>
      </c>
      <c r="I820">
        <v>1</v>
      </c>
      <c r="J820">
        <v>1</v>
      </c>
      <c r="K820" cm="1">
        <f t="array" ref="K820">IF(COUNTA(_xlfn.UNIQUE(_xlfn._xlws.FILTER($C$2:$C$1001,$B$2:$B$1001=B820)))=1,1,0)</f>
        <v>1</v>
      </c>
    </row>
    <row r="821" spans="1:11" x14ac:dyDescent="0.2">
      <c r="A821" t="s">
        <v>853</v>
      </c>
      <c r="B821" t="s">
        <v>788</v>
      </c>
      <c r="C821" t="s">
        <v>527</v>
      </c>
      <c r="D821" t="s">
        <v>1087</v>
      </c>
      <c r="E821">
        <v>23</v>
      </c>
      <c r="F821">
        <v>9378</v>
      </c>
      <c r="G821">
        <v>14.63</v>
      </c>
      <c r="H821">
        <v>2</v>
      </c>
      <c r="I821">
        <v>1</v>
      </c>
      <c r="J821">
        <v>2</v>
      </c>
      <c r="K821" cm="1">
        <f t="array" ref="K821">IF(COUNTA(_xlfn.UNIQUE(_xlfn._xlws.FILTER($C$2:$C$1001,$B$2:$B$1001=B821)))=1,1,0)</f>
        <v>1</v>
      </c>
    </row>
    <row r="822" spans="1:11" x14ac:dyDescent="0.2">
      <c r="A822" t="s">
        <v>854</v>
      </c>
      <c r="B822" t="s">
        <v>788</v>
      </c>
      <c r="C822" t="s">
        <v>527</v>
      </c>
      <c r="D822" t="s">
        <v>1087</v>
      </c>
      <c r="E822">
        <v>36</v>
      </c>
      <c r="F822">
        <v>18186</v>
      </c>
      <c r="G822">
        <v>23.66</v>
      </c>
      <c r="H822">
        <v>1</v>
      </c>
      <c r="I822">
        <v>2</v>
      </c>
      <c r="J822">
        <v>2</v>
      </c>
      <c r="K822" cm="1">
        <f t="array" ref="K822">IF(COUNTA(_xlfn.UNIQUE(_xlfn._xlws.FILTER($C$2:$C$1001,$B$2:$B$1001=B822)))=1,1,0)</f>
        <v>1</v>
      </c>
    </row>
    <row r="823" spans="1:11" x14ac:dyDescent="0.2">
      <c r="A823" t="s">
        <v>855</v>
      </c>
      <c r="B823" t="s">
        <v>793</v>
      </c>
      <c r="C823" t="s">
        <v>274</v>
      </c>
      <c r="D823" t="s">
        <v>1088</v>
      </c>
      <c r="E823">
        <v>45</v>
      </c>
      <c r="F823">
        <v>13802</v>
      </c>
      <c r="G823">
        <v>48.09</v>
      </c>
      <c r="H823">
        <v>2</v>
      </c>
      <c r="I823">
        <v>1</v>
      </c>
      <c r="J823">
        <v>1</v>
      </c>
      <c r="K823" cm="1">
        <f t="array" ref="K823">IF(COUNTA(_xlfn.UNIQUE(_xlfn._xlws.FILTER($C$2:$C$1001,$B$2:$B$1001=B823)))=1,1,0)</f>
        <v>1</v>
      </c>
    </row>
    <row r="824" spans="1:11" x14ac:dyDescent="0.2">
      <c r="A824" t="s">
        <v>856</v>
      </c>
      <c r="B824" t="s">
        <v>782</v>
      </c>
      <c r="C824" t="s">
        <v>18</v>
      </c>
      <c r="D824" t="s">
        <v>1085</v>
      </c>
      <c r="E824">
        <v>33</v>
      </c>
      <c r="F824">
        <v>13123</v>
      </c>
      <c r="G824">
        <v>49.31</v>
      </c>
      <c r="H824">
        <v>1</v>
      </c>
      <c r="I824">
        <v>1</v>
      </c>
      <c r="J824">
        <v>1</v>
      </c>
      <c r="K824" cm="1">
        <f t="array" ref="K824">IF(COUNTA(_xlfn.UNIQUE(_xlfn._xlws.FILTER($C$2:$C$1001,$B$2:$B$1001=B824)))=1,1,0)</f>
        <v>1</v>
      </c>
    </row>
    <row r="825" spans="1:11" x14ac:dyDescent="0.2">
      <c r="A825" t="s">
        <v>857</v>
      </c>
      <c r="B825" t="s">
        <v>788</v>
      </c>
      <c r="C825" t="s">
        <v>527</v>
      </c>
      <c r="D825" t="s">
        <v>1087</v>
      </c>
      <c r="E825">
        <v>67</v>
      </c>
      <c r="F825">
        <v>14604</v>
      </c>
      <c r="G825">
        <v>33.97</v>
      </c>
      <c r="H825">
        <v>1</v>
      </c>
      <c r="I825">
        <v>2</v>
      </c>
      <c r="J825">
        <v>2</v>
      </c>
      <c r="K825" cm="1">
        <f t="array" ref="K825">IF(COUNTA(_xlfn.UNIQUE(_xlfn._xlws.FILTER($C$2:$C$1001,$B$2:$B$1001=B825)))=1,1,0)</f>
        <v>1</v>
      </c>
    </row>
    <row r="826" spans="1:11" x14ac:dyDescent="0.2">
      <c r="A826" t="s">
        <v>858</v>
      </c>
      <c r="B826" t="s">
        <v>782</v>
      </c>
      <c r="C826" t="s">
        <v>18</v>
      </c>
      <c r="D826" t="s">
        <v>1085</v>
      </c>
      <c r="E826">
        <v>73</v>
      </c>
      <c r="F826">
        <v>14848</v>
      </c>
      <c r="G826">
        <v>15.02</v>
      </c>
      <c r="H826">
        <v>1</v>
      </c>
      <c r="I826">
        <v>1</v>
      </c>
      <c r="J826">
        <v>2</v>
      </c>
      <c r="K826" cm="1">
        <f t="array" ref="K826">IF(COUNTA(_xlfn.UNIQUE(_xlfn._xlws.FILTER($C$2:$C$1001,$B$2:$B$1001=B826)))=1,1,0)</f>
        <v>1</v>
      </c>
    </row>
    <row r="827" spans="1:11" x14ac:dyDescent="0.2">
      <c r="A827" t="s">
        <v>859</v>
      </c>
      <c r="B827" t="s">
        <v>793</v>
      </c>
      <c r="C827" t="s">
        <v>274</v>
      </c>
      <c r="D827" t="s">
        <v>1088</v>
      </c>
      <c r="E827">
        <v>82</v>
      </c>
      <c r="F827">
        <v>17171</v>
      </c>
      <c r="G827">
        <v>44.4</v>
      </c>
      <c r="H827">
        <v>2</v>
      </c>
      <c r="I827">
        <v>2</v>
      </c>
      <c r="J827">
        <v>2</v>
      </c>
      <c r="K827" cm="1">
        <f t="array" ref="K827">IF(COUNTA(_xlfn.UNIQUE(_xlfn._xlws.FILTER($C$2:$C$1001,$B$2:$B$1001=B827)))=1,1,0)</f>
        <v>1</v>
      </c>
    </row>
    <row r="828" spans="1:11" x14ac:dyDescent="0.2">
      <c r="A828" t="s">
        <v>860</v>
      </c>
      <c r="B828" t="s">
        <v>782</v>
      </c>
      <c r="C828" t="s">
        <v>18</v>
      </c>
      <c r="D828" t="s">
        <v>1085</v>
      </c>
      <c r="E828">
        <v>37</v>
      </c>
      <c r="F828">
        <v>14420</v>
      </c>
      <c r="G828">
        <v>35.07</v>
      </c>
      <c r="H828">
        <v>2</v>
      </c>
      <c r="I828">
        <v>1</v>
      </c>
      <c r="J828">
        <v>1</v>
      </c>
      <c r="K828" cm="1">
        <f t="array" ref="K828">IF(COUNTA(_xlfn.UNIQUE(_xlfn._xlws.FILTER($C$2:$C$1001,$B$2:$B$1001=B828)))=1,1,0)</f>
        <v>1</v>
      </c>
    </row>
    <row r="829" spans="1:11" x14ac:dyDescent="0.2">
      <c r="A829" t="s">
        <v>861</v>
      </c>
      <c r="B829" t="s">
        <v>793</v>
      </c>
      <c r="C829" t="s">
        <v>274</v>
      </c>
      <c r="D829" t="s">
        <v>1088</v>
      </c>
      <c r="E829">
        <v>45</v>
      </c>
      <c r="F829">
        <v>11343</v>
      </c>
      <c r="G829">
        <v>40.14</v>
      </c>
      <c r="H829">
        <v>2</v>
      </c>
      <c r="I829">
        <v>1</v>
      </c>
      <c r="J829">
        <v>2</v>
      </c>
      <c r="K829" cm="1">
        <f t="array" ref="K829">IF(COUNTA(_xlfn.UNIQUE(_xlfn._xlws.FILTER($C$2:$C$1001,$B$2:$B$1001=B829)))=1,1,0)</f>
        <v>1</v>
      </c>
    </row>
    <row r="830" spans="1:11" x14ac:dyDescent="0.2">
      <c r="A830" t="s">
        <v>862</v>
      </c>
      <c r="B830" t="s">
        <v>793</v>
      </c>
      <c r="C830" t="s">
        <v>274</v>
      </c>
      <c r="D830" t="s">
        <v>1088</v>
      </c>
      <c r="E830">
        <v>56</v>
      </c>
      <c r="F830">
        <v>5727</v>
      </c>
      <c r="G830">
        <v>13.63</v>
      </c>
      <c r="H830">
        <v>1</v>
      </c>
      <c r="I830">
        <v>2</v>
      </c>
      <c r="J830">
        <v>2</v>
      </c>
      <c r="K830" cm="1">
        <f t="array" ref="K830">IF(COUNTA(_xlfn.UNIQUE(_xlfn._xlws.FILTER($C$2:$C$1001,$B$2:$B$1001=B830)))=1,1,0)</f>
        <v>1</v>
      </c>
    </row>
    <row r="831" spans="1:11" x14ac:dyDescent="0.2">
      <c r="A831" t="s">
        <v>863</v>
      </c>
      <c r="B831" t="s">
        <v>793</v>
      </c>
      <c r="C831" t="s">
        <v>274</v>
      </c>
      <c r="D831" t="s">
        <v>1088</v>
      </c>
      <c r="E831">
        <v>86</v>
      </c>
      <c r="F831">
        <v>6550</v>
      </c>
      <c r="G831">
        <v>46.11</v>
      </c>
      <c r="H831">
        <v>1</v>
      </c>
      <c r="I831">
        <v>1</v>
      </c>
      <c r="J831">
        <v>2</v>
      </c>
      <c r="K831" cm="1">
        <f t="array" ref="K831">IF(COUNTA(_xlfn.UNIQUE(_xlfn._xlws.FILTER($C$2:$C$1001,$B$2:$B$1001=B831)))=1,1,0)</f>
        <v>1</v>
      </c>
    </row>
    <row r="832" spans="1:11" x14ac:dyDescent="0.2">
      <c r="A832" t="s">
        <v>864</v>
      </c>
      <c r="B832" t="s">
        <v>793</v>
      </c>
      <c r="C832" t="s">
        <v>274</v>
      </c>
      <c r="D832" t="s">
        <v>1088</v>
      </c>
      <c r="E832">
        <v>22</v>
      </c>
      <c r="F832">
        <v>9241</v>
      </c>
      <c r="G832">
        <v>42.09</v>
      </c>
      <c r="H832">
        <v>1</v>
      </c>
      <c r="I832">
        <v>3</v>
      </c>
      <c r="J832">
        <v>1</v>
      </c>
      <c r="K832" cm="1">
        <f t="array" ref="K832">IF(COUNTA(_xlfn.UNIQUE(_xlfn._xlws.FILTER($C$2:$C$1001,$B$2:$B$1001=B832)))=1,1,0)</f>
        <v>1</v>
      </c>
    </row>
    <row r="833" spans="1:11" x14ac:dyDescent="0.2">
      <c r="A833" t="s">
        <v>865</v>
      </c>
      <c r="B833" t="s">
        <v>788</v>
      </c>
      <c r="C833" t="s">
        <v>527</v>
      </c>
      <c r="D833" t="s">
        <v>1087</v>
      </c>
      <c r="E833">
        <v>31</v>
      </c>
      <c r="F833">
        <v>16926</v>
      </c>
      <c r="G833">
        <v>38.01</v>
      </c>
      <c r="H833">
        <v>1</v>
      </c>
      <c r="I833">
        <v>1</v>
      </c>
      <c r="J833">
        <v>1</v>
      </c>
      <c r="K833" cm="1">
        <f t="array" ref="K833">IF(COUNTA(_xlfn.UNIQUE(_xlfn._xlws.FILTER($C$2:$C$1001,$B$2:$B$1001=B833)))=1,1,0)</f>
        <v>1</v>
      </c>
    </row>
    <row r="834" spans="1:11" x14ac:dyDescent="0.2">
      <c r="A834" t="s">
        <v>866</v>
      </c>
      <c r="B834" t="s">
        <v>793</v>
      </c>
      <c r="C834" t="s">
        <v>274</v>
      </c>
      <c r="D834" t="s">
        <v>1088</v>
      </c>
      <c r="E834">
        <v>59</v>
      </c>
      <c r="F834">
        <v>7233</v>
      </c>
      <c r="G834">
        <v>30.54</v>
      </c>
      <c r="H834">
        <v>1</v>
      </c>
      <c r="I834">
        <v>2</v>
      </c>
      <c r="J834">
        <v>2</v>
      </c>
      <c r="K834" cm="1">
        <f t="array" ref="K834">IF(COUNTA(_xlfn.UNIQUE(_xlfn._xlws.FILTER($C$2:$C$1001,$B$2:$B$1001=B834)))=1,1,0)</f>
        <v>1</v>
      </c>
    </row>
    <row r="835" spans="1:11" x14ac:dyDescent="0.2">
      <c r="A835" t="s">
        <v>867</v>
      </c>
      <c r="B835" t="s">
        <v>788</v>
      </c>
      <c r="C835" t="s">
        <v>527</v>
      </c>
      <c r="D835" t="s">
        <v>1087</v>
      </c>
      <c r="E835">
        <v>39</v>
      </c>
      <c r="F835">
        <v>19781</v>
      </c>
      <c r="G835">
        <v>42.22</v>
      </c>
      <c r="H835">
        <v>2</v>
      </c>
      <c r="I835">
        <v>1</v>
      </c>
      <c r="J835">
        <v>2</v>
      </c>
      <c r="K835" cm="1">
        <f t="array" ref="K835">IF(COUNTA(_xlfn.UNIQUE(_xlfn._xlws.FILTER($C$2:$C$1001,$B$2:$B$1001=B835)))=1,1,0)</f>
        <v>1</v>
      </c>
    </row>
    <row r="836" spans="1:11" x14ac:dyDescent="0.2">
      <c r="A836" t="s">
        <v>868</v>
      </c>
      <c r="B836" t="s">
        <v>784</v>
      </c>
      <c r="C836" t="s">
        <v>527</v>
      </c>
      <c r="D836" t="s">
        <v>1086</v>
      </c>
      <c r="E836">
        <v>31</v>
      </c>
      <c r="F836">
        <v>15970</v>
      </c>
      <c r="G836">
        <v>32.909999999999997</v>
      </c>
      <c r="H836">
        <v>1</v>
      </c>
      <c r="I836">
        <v>2</v>
      </c>
      <c r="J836">
        <v>2</v>
      </c>
      <c r="K836" cm="1">
        <f t="array" ref="K836">IF(COUNTA(_xlfn.UNIQUE(_xlfn._xlws.FILTER($C$2:$C$1001,$B$2:$B$1001=B836)))=1,1,0)</f>
        <v>1</v>
      </c>
    </row>
    <row r="837" spans="1:11" x14ac:dyDescent="0.2">
      <c r="A837" t="s">
        <v>869</v>
      </c>
      <c r="B837" t="s">
        <v>784</v>
      </c>
      <c r="C837" t="s">
        <v>527</v>
      </c>
      <c r="D837" t="s">
        <v>1086</v>
      </c>
      <c r="E837">
        <v>86</v>
      </c>
      <c r="F837">
        <v>5858</v>
      </c>
      <c r="G837">
        <v>40.93</v>
      </c>
      <c r="H837">
        <v>1</v>
      </c>
      <c r="I837">
        <v>2</v>
      </c>
      <c r="J837">
        <v>2</v>
      </c>
      <c r="K837" cm="1">
        <f t="array" ref="K837">IF(COUNTA(_xlfn.UNIQUE(_xlfn._xlws.FILTER($C$2:$C$1001,$B$2:$B$1001=B837)))=1,1,0)</f>
        <v>1</v>
      </c>
    </row>
    <row r="838" spans="1:11" x14ac:dyDescent="0.2">
      <c r="A838" t="s">
        <v>870</v>
      </c>
      <c r="B838" t="s">
        <v>788</v>
      </c>
      <c r="C838" t="s">
        <v>527</v>
      </c>
      <c r="D838" t="s">
        <v>1087</v>
      </c>
      <c r="E838">
        <v>56</v>
      </c>
      <c r="F838">
        <v>6447</v>
      </c>
      <c r="G838">
        <v>31.76</v>
      </c>
      <c r="H838">
        <v>1</v>
      </c>
      <c r="I838">
        <v>1</v>
      </c>
      <c r="J838">
        <v>2</v>
      </c>
      <c r="K838" cm="1">
        <f t="array" ref="K838">IF(COUNTA(_xlfn.UNIQUE(_xlfn._xlws.FILTER($C$2:$C$1001,$B$2:$B$1001=B838)))=1,1,0)</f>
        <v>1</v>
      </c>
    </row>
    <row r="839" spans="1:11" x14ac:dyDescent="0.2">
      <c r="A839" t="s">
        <v>871</v>
      </c>
      <c r="B839" t="s">
        <v>788</v>
      </c>
      <c r="C839" t="s">
        <v>527</v>
      </c>
      <c r="D839" t="s">
        <v>1087</v>
      </c>
      <c r="E839">
        <v>15</v>
      </c>
      <c r="F839">
        <v>11952</v>
      </c>
      <c r="G839">
        <v>20.329999999999998</v>
      </c>
      <c r="H839">
        <v>1</v>
      </c>
      <c r="I839">
        <v>2</v>
      </c>
      <c r="J839">
        <v>2</v>
      </c>
      <c r="K839" cm="1">
        <f t="array" ref="K839">IF(COUNTA(_xlfn.UNIQUE(_xlfn._xlws.FILTER($C$2:$C$1001,$B$2:$B$1001=B839)))=1,1,0)</f>
        <v>1</v>
      </c>
    </row>
    <row r="840" spans="1:11" x14ac:dyDescent="0.2">
      <c r="A840" t="s">
        <v>872</v>
      </c>
      <c r="B840" t="s">
        <v>784</v>
      </c>
      <c r="C840" t="s">
        <v>527</v>
      </c>
      <c r="D840" t="s">
        <v>1086</v>
      </c>
      <c r="E840">
        <v>76</v>
      </c>
      <c r="F840">
        <v>15195</v>
      </c>
      <c r="G840">
        <v>19.5</v>
      </c>
      <c r="H840">
        <v>2</v>
      </c>
      <c r="I840">
        <v>1</v>
      </c>
      <c r="J840">
        <v>2</v>
      </c>
      <c r="K840" cm="1">
        <f t="array" ref="K840">IF(COUNTA(_xlfn.UNIQUE(_xlfn._xlws.FILTER($C$2:$C$1001,$B$2:$B$1001=B840)))=1,1,0)</f>
        <v>1</v>
      </c>
    </row>
    <row r="841" spans="1:11" x14ac:dyDescent="0.2">
      <c r="A841" t="s">
        <v>873</v>
      </c>
      <c r="B841" t="s">
        <v>793</v>
      </c>
      <c r="C841" t="s">
        <v>274</v>
      </c>
      <c r="D841" t="s">
        <v>1088</v>
      </c>
      <c r="E841">
        <v>37</v>
      </c>
      <c r="F841">
        <v>14336</v>
      </c>
      <c r="G841">
        <v>12.09</v>
      </c>
      <c r="H841">
        <v>3</v>
      </c>
      <c r="I841">
        <v>1</v>
      </c>
      <c r="J841">
        <v>2</v>
      </c>
      <c r="K841" cm="1">
        <f t="array" ref="K841">IF(COUNTA(_xlfn.UNIQUE(_xlfn._xlws.FILTER($C$2:$C$1001,$B$2:$B$1001=B841)))=1,1,0)</f>
        <v>1</v>
      </c>
    </row>
    <row r="842" spans="1:11" x14ac:dyDescent="0.2">
      <c r="A842" t="s">
        <v>874</v>
      </c>
      <c r="B842" t="s">
        <v>784</v>
      </c>
      <c r="C842" t="s">
        <v>527</v>
      </c>
      <c r="D842" t="s">
        <v>1086</v>
      </c>
      <c r="E842">
        <v>69</v>
      </c>
      <c r="F842">
        <v>14951</v>
      </c>
      <c r="G842">
        <v>21.27</v>
      </c>
      <c r="H842">
        <v>1</v>
      </c>
      <c r="I842">
        <v>1</v>
      </c>
      <c r="J842">
        <v>1</v>
      </c>
      <c r="K842" cm="1">
        <f t="array" ref="K842">IF(COUNTA(_xlfn.UNIQUE(_xlfn._xlws.FILTER($C$2:$C$1001,$B$2:$B$1001=B842)))=1,1,0)</f>
        <v>1</v>
      </c>
    </row>
    <row r="843" spans="1:11" x14ac:dyDescent="0.2">
      <c r="A843" t="s">
        <v>875</v>
      </c>
      <c r="B843" t="s">
        <v>782</v>
      </c>
      <c r="C843" t="s">
        <v>18</v>
      </c>
      <c r="D843" t="s">
        <v>1085</v>
      </c>
      <c r="E843">
        <v>15</v>
      </c>
      <c r="F843">
        <v>12795</v>
      </c>
      <c r="G843">
        <v>22.86</v>
      </c>
      <c r="H843">
        <v>1</v>
      </c>
      <c r="I843">
        <v>1</v>
      </c>
      <c r="J843">
        <v>2</v>
      </c>
      <c r="K843" cm="1">
        <f t="array" ref="K843">IF(COUNTA(_xlfn.UNIQUE(_xlfn._xlws.FILTER($C$2:$C$1001,$B$2:$B$1001=B843)))=1,1,0)</f>
        <v>1</v>
      </c>
    </row>
    <row r="844" spans="1:11" x14ac:dyDescent="0.2">
      <c r="A844" t="s">
        <v>876</v>
      </c>
      <c r="B844" t="s">
        <v>784</v>
      </c>
      <c r="C844" t="s">
        <v>527</v>
      </c>
      <c r="D844" t="s">
        <v>1086</v>
      </c>
      <c r="E844">
        <v>69</v>
      </c>
      <c r="F844">
        <v>18493</v>
      </c>
      <c r="G844">
        <v>11.52</v>
      </c>
      <c r="H844">
        <v>1</v>
      </c>
      <c r="I844">
        <v>1</v>
      </c>
      <c r="J844">
        <v>2</v>
      </c>
      <c r="K844" cm="1">
        <f t="array" ref="K844">IF(COUNTA(_xlfn.UNIQUE(_xlfn._xlws.FILTER($C$2:$C$1001,$B$2:$B$1001=B844)))=1,1,0)</f>
        <v>1</v>
      </c>
    </row>
    <row r="845" spans="1:11" x14ac:dyDescent="0.2">
      <c r="A845" t="s">
        <v>877</v>
      </c>
      <c r="B845" t="s">
        <v>788</v>
      </c>
      <c r="C845" t="s">
        <v>527</v>
      </c>
      <c r="D845" t="s">
        <v>1087</v>
      </c>
      <c r="E845">
        <v>49</v>
      </c>
      <c r="F845">
        <v>15339</v>
      </c>
      <c r="G845">
        <v>41.47</v>
      </c>
      <c r="H845">
        <v>2</v>
      </c>
      <c r="I845">
        <v>2</v>
      </c>
      <c r="J845">
        <v>2</v>
      </c>
      <c r="K845" cm="1">
        <f t="array" ref="K845">IF(COUNTA(_xlfn.UNIQUE(_xlfn._xlws.FILTER($C$2:$C$1001,$B$2:$B$1001=B845)))=1,1,0)</f>
        <v>1</v>
      </c>
    </row>
    <row r="846" spans="1:11" x14ac:dyDescent="0.2">
      <c r="A846" t="s">
        <v>878</v>
      </c>
      <c r="B846" t="s">
        <v>793</v>
      </c>
      <c r="C846" t="s">
        <v>274</v>
      </c>
      <c r="D846" t="s">
        <v>1088</v>
      </c>
      <c r="E846">
        <v>56</v>
      </c>
      <c r="F846">
        <v>8690</v>
      </c>
      <c r="G846">
        <v>45.21</v>
      </c>
      <c r="H846">
        <v>2</v>
      </c>
      <c r="I846">
        <v>1</v>
      </c>
      <c r="J846">
        <v>2</v>
      </c>
      <c r="K846" cm="1">
        <f t="array" ref="K846">IF(COUNTA(_xlfn.UNIQUE(_xlfn._xlws.FILTER($C$2:$C$1001,$B$2:$B$1001=B846)))=1,1,0)</f>
        <v>1</v>
      </c>
    </row>
    <row r="847" spans="1:11" x14ac:dyDescent="0.2">
      <c r="A847" t="s">
        <v>879</v>
      </c>
      <c r="B847" t="s">
        <v>782</v>
      </c>
      <c r="C847" t="s">
        <v>18</v>
      </c>
      <c r="D847" t="s">
        <v>1085</v>
      </c>
      <c r="E847">
        <v>17</v>
      </c>
      <c r="F847">
        <v>9938</v>
      </c>
      <c r="G847">
        <v>42.07</v>
      </c>
      <c r="H847">
        <v>2</v>
      </c>
      <c r="I847">
        <v>1</v>
      </c>
      <c r="J847">
        <v>2</v>
      </c>
      <c r="K847" cm="1">
        <f t="array" ref="K847">IF(COUNTA(_xlfn.UNIQUE(_xlfn._xlws.FILTER($C$2:$C$1001,$B$2:$B$1001=B847)))=1,1,0)</f>
        <v>1</v>
      </c>
    </row>
    <row r="848" spans="1:11" x14ac:dyDescent="0.2">
      <c r="A848" t="s">
        <v>880</v>
      </c>
      <c r="B848" t="s">
        <v>793</v>
      </c>
      <c r="C848" t="s">
        <v>274</v>
      </c>
      <c r="D848" t="s">
        <v>1088</v>
      </c>
      <c r="E848">
        <v>17</v>
      </c>
      <c r="F848">
        <v>8981</v>
      </c>
      <c r="G848">
        <v>13.81</v>
      </c>
      <c r="H848">
        <v>1</v>
      </c>
      <c r="I848">
        <v>2</v>
      </c>
      <c r="J848">
        <v>2</v>
      </c>
      <c r="K848" cm="1">
        <f t="array" ref="K848">IF(COUNTA(_xlfn.UNIQUE(_xlfn._xlws.FILTER($C$2:$C$1001,$B$2:$B$1001=B848)))=1,1,0)</f>
        <v>1</v>
      </c>
    </row>
    <row r="849" spans="1:11" x14ac:dyDescent="0.2">
      <c r="A849" t="s">
        <v>881</v>
      </c>
      <c r="B849" t="s">
        <v>788</v>
      </c>
      <c r="C849" t="s">
        <v>527</v>
      </c>
      <c r="D849" t="s">
        <v>1087</v>
      </c>
      <c r="E849">
        <v>31</v>
      </c>
      <c r="F849">
        <v>14126</v>
      </c>
      <c r="G849">
        <v>16.940000000000001</v>
      </c>
      <c r="H849">
        <v>3</v>
      </c>
      <c r="I849">
        <v>3</v>
      </c>
      <c r="J849">
        <v>2</v>
      </c>
      <c r="K849" cm="1">
        <f t="array" ref="K849">IF(COUNTA(_xlfn.UNIQUE(_xlfn._xlws.FILTER($C$2:$C$1001,$B$2:$B$1001=B849)))=1,1,0)</f>
        <v>1</v>
      </c>
    </row>
    <row r="850" spans="1:11" x14ac:dyDescent="0.2">
      <c r="A850" t="s">
        <v>882</v>
      </c>
      <c r="B850" t="s">
        <v>793</v>
      </c>
      <c r="C850" t="s">
        <v>274</v>
      </c>
      <c r="D850" t="s">
        <v>1088</v>
      </c>
      <c r="E850">
        <v>19</v>
      </c>
      <c r="F850">
        <v>9655</v>
      </c>
      <c r="G850">
        <v>49.82</v>
      </c>
      <c r="H850">
        <v>2</v>
      </c>
      <c r="I850">
        <v>2</v>
      </c>
      <c r="J850">
        <v>2</v>
      </c>
      <c r="K850" cm="1">
        <f t="array" ref="K850">IF(COUNTA(_xlfn.UNIQUE(_xlfn._xlws.FILTER($C$2:$C$1001,$B$2:$B$1001=B850)))=1,1,0)</f>
        <v>1</v>
      </c>
    </row>
    <row r="851" spans="1:11" x14ac:dyDescent="0.2">
      <c r="A851" t="s">
        <v>883</v>
      </c>
      <c r="B851" t="s">
        <v>793</v>
      </c>
      <c r="C851" t="s">
        <v>274</v>
      </c>
      <c r="D851" t="s">
        <v>1088</v>
      </c>
      <c r="E851">
        <v>64</v>
      </c>
      <c r="F851">
        <v>13712</v>
      </c>
      <c r="G851">
        <v>29.56</v>
      </c>
      <c r="H851">
        <v>1</v>
      </c>
      <c r="I851">
        <v>1</v>
      </c>
      <c r="J851">
        <v>1</v>
      </c>
      <c r="K851" cm="1">
        <f t="array" ref="K851">IF(COUNTA(_xlfn.UNIQUE(_xlfn._xlws.FILTER($C$2:$C$1001,$B$2:$B$1001=B851)))=1,1,0)</f>
        <v>1</v>
      </c>
    </row>
    <row r="852" spans="1:11" x14ac:dyDescent="0.2">
      <c r="A852" t="s">
        <v>884</v>
      </c>
      <c r="B852" t="s">
        <v>782</v>
      </c>
      <c r="C852" t="s">
        <v>18</v>
      </c>
      <c r="D852" t="s">
        <v>1085</v>
      </c>
      <c r="E852">
        <v>84</v>
      </c>
      <c r="F852">
        <v>9607</v>
      </c>
      <c r="G852">
        <v>35.03</v>
      </c>
      <c r="H852">
        <v>1</v>
      </c>
      <c r="I852">
        <v>2</v>
      </c>
      <c r="J852">
        <v>1</v>
      </c>
      <c r="K852" cm="1">
        <f t="array" ref="K852">IF(COUNTA(_xlfn.UNIQUE(_xlfn._xlws.FILTER($C$2:$C$1001,$B$2:$B$1001=B852)))=1,1,0)</f>
        <v>1</v>
      </c>
    </row>
    <row r="853" spans="1:11" x14ac:dyDescent="0.2">
      <c r="A853" t="s">
        <v>885</v>
      </c>
      <c r="B853" t="s">
        <v>788</v>
      </c>
      <c r="C853" t="s">
        <v>527</v>
      </c>
      <c r="D853" t="s">
        <v>1087</v>
      </c>
      <c r="E853">
        <v>13</v>
      </c>
      <c r="F853">
        <v>6857</v>
      </c>
      <c r="G853">
        <v>32.869999999999997</v>
      </c>
      <c r="H853">
        <v>1</v>
      </c>
      <c r="I853">
        <v>1</v>
      </c>
      <c r="J853">
        <v>2</v>
      </c>
      <c r="K853" cm="1">
        <f t="array" ref="K853">IF(COUNTA(_xlfn.UNIQUE(_xlfn._xlws.FILTER($C$2:$C$1001,$B$2:$B$1001=B853)))=1,1,0)</f>
        <v>1</v>
      </c>
    </row>
    <row r="854" spans="1:11" x14ac:dyDescent="0.2">
      <c r="A854" t="s">
        <v>886</v>
      </c>
      <c r="B854" t="s">
        <v>782</v>
      </c>
      <c r="C854" t="s">
        <v>18</v>
      </c>
      <c r="D854" t="s">
        <v>1085</v>
      </c>
      <c r="E854">
        <v>33</v>
      </c>
      <c r="F854">
        <v>10072</v>
      </c>
      <c r="G854">
        <v>10.88</v>
      </c>
      <c r="H854">
        <v>3</v>
      </c>
      <c r="I854">
        <v>2</v>
      </c>
      <c r="J854">
        <v>2</v>
      </c>
      <c r="K854" cm="1">
        <f t="array" ref="K854">IF(COUNTA(_xlfn.UNIQUE(_xlfn._xlws.FILTER($C$2:$C$1001,$B$2:$B$1001=B854)))=1,1,0)</f>
        <v>1</v>
      </c>
    </row>
    <row r="855" spans="1:11" x14ac:dyDescent="0.2">
      <c r="A855" t="s">
        <v>887</v>
      </c>
      <c r="B855" t="s">
        <v>782</v>
      </c>
      <c r="C855" t="s">
        <v>18</v>
      </c>
      <c r="D855" t="s">
        <v>1085</v>
      </c>
      <c r="E855">
        <v>30</v>
      </c>
      <c r="F855">
        <v>15085</v>
      </c>
      <c r="G855">
        <v>14.04</v>
      </c>
      <c r="H855">
        <v>3</v>
      </c>
      <c r="I855">
        <v>2</v>
      </c>
      <c r="J855">
        <v>2</v>
      </c>
      <c r="K855" cm="1">
        <f t="array" ref="K855">IF(COUNTA(_xlfn.UNIQUE(_xlfn._xlws.FILTER($C$2:$C$1001,$B$2:$B$1001=B855)))=1,1,0)</f>
        <v>1</v>
      </c>
    </row>
    <row r="856" spans="1:11" x14ac:dyDescent="0.2">
      <c r="A856" t="s">
        <v>888</v>
      </c>
      <c r="B856" t="s">
        <v>793</v>
      </c>
      <c r="C856" t="s">
        <v>274</v>
      </c>
      <c r="D856" t="s">
        <v>1088</v>
      </c>
      <c r="E856">
        <v>40</v>
      </c>
      <c r="F856">
        <v>6386</v>
      </c>
      <c r="G856">
        <v>13.75</v>
      </c>
      <c r="H856">
        <v>3</v>
      </c>
      <c r="I856">
        <v>3</v>
      </c>
      <c r="J856">
        <v>2</v>
      </c>
      <c r="K856" cm="1">
        <f t="array" ref="K856">IF(COUNTA(_xlfn.UNIQUE(_xlfn._xlws.FILTER($C$2:$C$1001,$B$2:$B$1001=B856)))=1,1,0)</f>
        <v>1</v>
      </c>
    </row>
    <row r="857" spans="1:11" x14ac:dyDescent="0.2">
      <c r="A857" t="s">
        <v>889</v>
      </c>
      <c r="B857" t="s">
        <v>788</v>
      </c>
      <c r="C857" t="s">
        <v>527</v>
      </c>
      <c r="D857" t="s">
        <v>1087</v>
      </c>
      <c r="E857">
        <v>88</v>
      </c>
      <c r="F857">
        <v>19940</v>
      </c>
      <c r="G857">
        <v>13.62</v>
      </c>
      <c r="H857">
        <v>2</v>
      </c>
      <c r="I857">
        <v>2</v>
      </c>
      <c r="J857">
        <v>2</v>
      </c>
      <c r="K857" cm="1">
        <f t="array" ref="K857">IF(COUNTA(_xlfn.UNIQUE(_xlfn._xlws.FILTER($C$2:$C$1001,$B$2:$B$1001=B857)))=1,1,0)</f>
        <v>1</v>
      </c>
    </row>
    <row r="858" spans="1:11" x14ac:dyDescent="0.2">
      <c r="A858" t="s">
        <v>890</v>
      </c>
      <c r="B858" t="s">
        <v>784</v>
      </c>
      <c r="C858" t="s">
        <v>527</v>
      </c>
      <c r="D858" t="s">
        <v>1086</v>
      </c>
      <c r="E858">
        <v>55</v>
      </c>
      <c r="F858">
        <v>8308</v>
      </c>
      <c r="G858">
        <v>29.86</v>
      </c>
      <c r="H858">
        <v>3</v>
      </c>
      <c r="I858">
        <v>1</v>
      </c>
      <c r="J858">
        <v>1</v>
      </c>
      <c r="K858" cm="1">
        <f t="array" ref="K858">IF(COUNTA(_xlfn.UNIQUE(_xlfn._xlws.FILTER($C$2:$C$1001,$B$2:$B$1001=B858)))=1,1,0)</f>
        <v>1</v>
      </c>
    </row>
    <row r="859" spans="1:11" x14ac:dyDescent="0.2">
      <c r="A859" t="s">
        <v>891</v>
      </c>
      <c r="B859" t="s">
        <v>782</v>
      </c>
      <c r="C859" t="s">
        <v>18</v>
      </c>
      <c r="D859" t="s">
        <v>1085</v>
      </c>
      <c r="E859">
        <v>46</v>
      </c>
      <c r="F859">
        <v>9782</v>
      </c>
      <c r="G859">
        <v>24.66</v>
      </c>
      <c r="H859">
        <v>2</v>
      </c>
      <c r="I859">
        <v>3</v>
      </c>
      <c r="J859">
        <v>2</v>
      </c>
      <c r="K859" cm="1">
        <f t="array" ref="K859">IF(COUNTA(_xlfn.UNIQUE(_xlfn._xlws.FILTER($C$2:$C$1001,$B$2:$B$1001=B859)))=1,1,0)</f>
        <v>1</v>
      </c>
    </row>
    <row r="860" spans="1:11" x14ac:dyDescent="0.2">
      <c r="A860" t="s">
        <v>892</v>
      </c>
      <c r="B860" t="s">
        <v>784</v>
      </c>
      <c r="C860" t="s">
        <v>527</v>
      </c>
      <c r="D860" t="s">
        <v>1086</v>
      </c>
      <c r="E860">
        <v>88</v>
      </c>
      <c r="F860">
        <v>16774</v>
      </c>
      <c r="G860">
        <v>25.17</v>
      </c>
      <c r="H860">
        <v>1</v>
      </c>
      <c r="I860">
        <v>2</v>
      </c>
      <c r="J860">
        <v>2</v>
      </c>
      <c r="K860" cm="1">
        <f t="array" ref="K860">IF(COUNTA(_xlfn.UNIQUE(_xlfn._xlws.FILTER($C$2:$C$1001,$B$2:$B$1001=B860)))=1,1,0)</f>
        <v>1</v>
      </c>
    </row>
    <row r="861" spans="1:11" x14ac:dyDescent="0.2">
      <c r="A861" t="s">
        <v>893</v>
      </c>
      <c r="B861" t="s">
        <v>784</v>
      </c>
      <c r="C861" t="s">
        <v>527</v>
      </c>
      <c r="D861" t="s">
        <v>1086</v>
      </c>
      <c r="E861">
        <v>26</v>
      </c>
      <c r="F861">
        <v>17955</v>
      </c>
      <c r="G861">
        <v>33.14</v>
      </c>
      <c r="H861">
        <v>3</v>
      </c>
      <c r="I861">
        <v>2</v>
      </c>
      <c r="J861">
        <v>1</v>
      </c>
      <c r="K861" cm="1">
        <f t="array" ref="K861">IF(COUNTA(_xlfn.UNIQUE(_xlfn._xlws.FILTER($C$2:$C$1001,$B$2:$B$1001=B861)))=1,1,0)</f>
        <v>1</v>
      </c>
    </row>
    <row r="862" spans="1:11" x14ac:dyDescent="0.2">
      <c r="A862" t="s">
        <v>894</v>
      </c>
      <c r="B862" t="s">
        <v>788</v>
      </c>
      <c r="C862" t="s">
        <v>527</v>
      </c>
      <c r="D862" t="s">
        <v>1087</v>
      </c>
      <c r="E862">
        <v>40</v>
      </c>
      <c r="F862">
        <v>5834</v>
      </c>
      <c r="G862">
        <v>36.03</v>
      </c>
      <c r="H862">
        <v>1</v>
      </c>
      <c r="I862">
        <v>3</v>
      </c>
      <c r="J862">
        <v>1</v>
      </c>
      <c r="K862" cm="1">
        <f t="array" ref="K862">IF(COUNTA(_xlfn.UNIQUE(_xlfn._xlws.FILTER($C$2:$C$1001,$B$2:$B$1001=B862)))=1,1,0)</f>
        <v>1</v>
      </c>
    </row>
    <row r="863" spans="1:11" x14ac:dyDescent="0.2">
      <c r="A863" t="s">
        <v>895</v>
      </c>
      <c r="B863" t="s">
        <v>782</v>
      </c>
      <c r="C863" t="s">
        <v>18</v>
      </c>
      <c r="D863" t="s">
        <v>1085</v>
      </c>
      <c r="E863">
        <v>31</v>
      </c>
      <c r="F863">
        <v>14330</v>
      </c>
      <c r="G863">
        <v>30.01</v>
      </c>
      <c r="H863">
        <v>1</v>
      </c>
      <c r="I863">
        <v>2</v>
      </c>
      <c r="J863">
        <v>2</v>
      </c>
      <c r="K863" cm="1">
        <f t="array" ref="K863">IF(COUNTA(_xlfn.UNIQUE(_xlfn._xlws.FILTER($C$2:$C$1001,$B$2:$B$1001=B863)))=1,1,0)</f>
        <v>1</v>
      </c>
    </row>
    <row r="864" spans="1:11" x14ac:dyDescent="0.2">
      <c r="A864" t="s">
        <v>896</v>
      </c>
      <c r="B864" t="s">
        <v>784</v>
      </c>
      <c r="C864" t="s">
        <v>527</v>
      </c>
      <c r="D864" t="s">
        <v>1086</v>
      </c>
      <c r="E864">
        <v>69</v>
      </c>
      <c r="F864">
        <v>8110</v>
      </c>
      <c r="G864">
        <v>32.270000000000003</v>
      </c>
      <c r="H864">
        <v>3</v>
      </c>
      <c r="I864">
        <v>2</v>
      </c>
      <c r="J864">
        <v>1</v>
      </c>
      <c r="K864" cm="1">
        <f t="array" ref="K864">IF(COUNTA(_xlfn.UNIQUE(_xlfn._xlws.FILTER($C$2:$C$1001,$B$2:$B$1001=B864)))=1,1,0)</f>
        <v>1</v>
      </c>
    </row>
    <row r="865" spans="1:11" x14ac:dyDescent="0.2">
      <c r="A865" t="s">
        <v>897</v>
      </c>
      <c r="B865" t="s">
        <v>784</v>
      </c>
      <c r="C865" t="s">
        <v>527</v>
      </c>
      <c r="D865" t="s">
        <v>1086</v>
      </c>
      <c r="E865">
        <v>89</v>
      </c>
      <c r="F865">
        <v>5212</v>
      </c>
      <c r="G865">
        <v>34.78</v>
      </c>
      <c r="H865">
        <v>1</v>
      </c>
      <c r="I865">
        <v>1</v>
      </c>
      <c r="J865">
        <v>1</v>
      </c>
      <c r="K865" cm="1">
        <f t="array" ref="K865">IF(COUNTA(_xlfn.UNIQUE(_xlfn._xlws.FILTER($C$2:$C$1001,$B$2:$B$1001=B865)))=1,1,0)</f>
        <v>1</v>
      </c>
    </row>
    <row r="866" spans="1:11" x14ac:dyDescent="0.2">
      <c r="A866" t="s">
        <v>898</v>
      </c>
      <c r="B866" t="s">
        <v>782</v>
      </c>
      <c r="C866" t="s">
        <v>18</v>
      </c>
      <c r="D866" t="s">
        <v>1085</v>
      </c>
      <c r="E866">
        <v>46</v>
      </c>
      <c r="F866">
        <v>18777</v>
      </c>
      <c r="G866">
        <v>17.62</v>
      </c>
      <c r="H866">
        <v>2</v>
      </c>
      <c r="I866">
        <v>1</v>
      </c>
      <c r="J866">
        <v>1</v>
      </c>
      <c r="K866" cm="1">
        <f t="array" ref="K866">IF(COUNTA(_xlfn.UNIQUE(_xlfn._xlws.FILTER($C$2:$C$1001,$B$2:$B$1001=B866)))=1,1,0)</f>
        <v>1</v>
      </c>
    </row>
    <row r="867" spans="1:11" x14ac:dyDescent="0.2">
      <c r="A867" t="s">
        <v>899</v>
      </c>
      <c r="B867" t="s">
        <v>784</v>
      </c>
      <c r="C867" t="s">
        <v>527</v>
      </c>
      <c r="D867" t="s">
        <v>1086</v>
      </c>
      <c r="E867">
        <v>61</v>
      </c>
      <c r="F867">
        <v>9808</v>
      </c>
      <c r="G867">
        <v>24</v>
      </c>
      <c r="H867">
        <v>1</v>
      </c>
      <c r="I867">
        <v>1</v>
      </c>
      <c r="J867">
        <v>1</v>
      </c>
      <c r="K867" cm="1">
        <f t="array" ref="K867">IF(COUNTA(_xlfn.UNIQUE(_xlfn._xlws.FILTER($C$2:$C$1001,$B$2:$B$1001=B867)))=1,1,0)</f>
        <v>1</v>
      </c>
    </row>
    <row r="868" spans="1:11" x14ac:dyDescent="0.2">
      <c r="A868" t="s">
        <v>900</v>
      </c>
      <c r="B868" t="s">
        <v>784</v>
      </c>
      <c r="C868" t="s">
        <v>527</v>
      </c>
      <c r="D868" t="s">
        <v>1086</v>
      </c>
      <c r="E868">
        <v>33</v>
      </c>
      <c r="F868">
        <v>17910</v>
      </c>
      <c r="G868">
        <v>24.58</v>
      </c>
      <c r="H868">
        <v>1</v>
      </c>
      <c r="I868">
        <v>3</v>
      </c>
      <c r="J868">
        <v>2</v>
      </c>
      <c r="K868" cm="1">
        <f t="array" ref="K868">IF(COUNTA(_xlfn.UNIQUE(_xlfn._xlws.FILTER($C$2:$C$1001,$B$2:$B$1001=B868)))=1,1,0)</f>
        <v>1</v>
      </c>
    </row>
    <row r="869" spans="1:11" x14ac:dyDescent="0.2">
      <c r="A869" t="s">
        <v>901</v>
      </c>
      <c r="B869" t="s">
        <v>793</v>
      </c>
      <c r="C869" t="s">
        <v>274</v>
      </c>
      <c r="D869" t="s">
        <v>1088</v>
      </c>
      <c r="E869">
        <v>48</v>
      </c>
      <c r="F869">
        <v>18863</v>
      </c>
      <c r="G869">
        <v>18.3</v>
      </c>
      <c r="H869">
        <v>1</v>
      </c>
      <c r="I869">
        <v>1</v>
      </c>
      <c r="J869">
        <v>2</v>
      </c>
      <c r="K869" cm="1">
        <f t="array" ref="K869">IF(COUNTA(_xlfn.UNIQUE(_xlfn._xlws.FILTER($C$2:$C$1001,$B$2:$B$1001=B869)))=1,1,0)</f>
        <v>1</v>
      </c>
    </row>
    <row r="870" spans="1:11" x14ac:dyDescent="0.2">
      <c r="A870" t="s">
        <v>902</v>
      </c>
      <c r="B870" t="s">
        <v>782</v>
      </c>
      <c r="C870" t="s">
        <v>18</v>
      </c>
      <c r="D870" t="s">
        <v>1085</v>
      </c>
      <c r="E870">
        <v>31</v>
      </c>
      <c r="F870">
        <v>6777</v>
      </c>
      <c r="G870">
        <v>39.78</v>
      </c>
      <c r="H870">
        <v>1</v>
      </c>
      <c r="I870">
        <v>2</v>
      </c>
      <c r="J870">
        <v>1</v>
      </c>
      <c r="K870" cm="1">
        <f t="array" ref="K870">IF(COUNTA(_xlfn.UNIQUE(_xlfn._xlws.FILTER($C$2:$C$1001,$B$2:$B$1001=B870)))=1,1,0)</f>
        <v>1</v>
      </c>
    </row>
    <row r="871" spans="1:11" x14ac:dyDescent="0.2">
      <c r="A871" t="s">
        <v>903</v>
      </c>
      <c r="B871" t="s">
        <v>788</v>
      </c>
      <c r="C871" t="s">
        <v>527</v>
      </c>
      <c r="D871" t="s">
        <v>1087</v>
      </c>
      <c r="E871">
        <v>41</v>
      </c>
      <c r="F871">
        <v>13343</v>
      </c>
      <c r="G871">
        <v>13.33</v>
      </c>
      <c r="H871">
        <v>3</v>
      </c>
      <c r="I871">
        <v>3</v>
      </c>
      <c r="J871">
        <v>2</v>
      </c>
      <c r="K871" cm="1">
        <f t="array" ref="K871">IF(COUNTA(_xlfn.UNIQUE(_xlfn._xlws.FILTER($C$2:$C$1001,$B$2:$B$1001=B871)))=1,1,0)</f>
        <v>1</v>
      </c>
    </row>
    <row r="872" spans="1:11" x14ac:dyDescent="0.2">
      <c r="A872" t="s">
        <v>904</v>
      </c>
      <c r="B872" t="s">
        <v>793</v>
      </c>
      <c r="C872" t="s">
        <v>274</v>
      </c>
      <c r="D872" t="s">
        <v>1088</v>
      </c>
      <c r="E872">
        <v>23</v>
      </c>
      <c r="F872">
        <v>17708</v>
      </c>
      <c r="G872">
        <v>32.619999999999997</v>
      </c>
      <c r="H872">
        <v>2</v>
      </c>
      <c r="I872">
        <v>3</v>
      </c>
      <c r="J872">
        <v>1</v>
      </c>
      <c r="K872" cm="1">
        <f t="array" ref="K872">IF(COUNTA(_xlfn.UNIQUE(_xlfn._xlws.FILTER($C$2:$C$1001,$B$2:$B$1001=B872)))=1,1,0)</f>
        <v>1</v>
      </c>
    </row>
    <row r="873" spans="1:11" x14ac:dyDescent="0.2">
      <c r="A873" t="s">
        <v>905</v>
      </c>
      <c r="B873" t="s">
        <v>793</v>
      </c>
      <c r="C873" t="s">
        <v>274</v>
      </c>
      <c r="D873" t="s">
        <v>1088</v>
      </c>
      <c r="E873">
        <v>83</v>
      </c>
      <c r="F873">
        <v>15972</v>
      </c>
      <c r="G873">
        <v>36.83</v>
      </c>
      <c r="H873">
        <v>1</v>
      </c>
      <c r="I873">
        <v>1</v>
      </c>
      <c r="J873">
        <v>1</v>
      </c>
      <c r="K873" cm="1">
        <f t="array" ref="K873">IF(COUNTA(_xlfn.UNIQUE(_xlfn._xlws.FILTER($C$2:$C$1001,$B$2:$B$1001=B873)))=1,1,0)</f>
        <v>1</v>
      </c>
    </row>
    <row r="874" spans="1:11" x14ac:dyDescent="0.2">
      <c r="A874" t="s">
        <v>906</v>
      </c>
      <c r="B874" t="s">
        <v>793</v>
      </c>
      <c r="C874" t="s">
        <v>274</v>
      </c>
      <c r="D874" t="s">
        <v>1088</v>
      </c>
      <c r="E874">
        <v>26</v>
      </c>
      <c r="F874">
        <v>8845</v>
      </c>
      <c r="G874">
        <v>13.37</v>
      </c>
      <c r="H874">
        <v>1</v>
      </c>
      <c r="I874">
        <v>1</v>
      </c>
      <c r="J874">
        <v>2</v>
      </c>
      <c r="K874" cm="1">
        <f t="array" ref="K874">IF(COUNTA(_xlfn.UNIQUE(_xlfn._xlws.FILTER($C$2:$C$1001,$B$2:$B$1001=B874)))=1,1,0)</f>
        <v>1</v>
      </c>
    </row>
    <row r="875" spans="1:11" x14ac:dyDescent="0.2">
      <c r="A875" t="s">
        <v>907</v>
      </c>
      <c r="B875" t="s">
        <v>793</v>
      </c>
      <c r="C875" t="s">
        <v>274</v>
      </c>
      <c r="D875" t="s">
        <v>1088</v>
      </c>
      <c r="E875">
        <v>31</v>
      </c>
      <c r="F875">
        <v>5968</v>
      </c>
      <c r="G875">
        <v>27.69</v>
      </c>
      <c r="H875">
        <v>2</v>
      </c>
      <c r="I875">
        <v>2</v>
      </c>
      <c r="J875">
        <v>1</v>
      </c>
      <c r="K875" cm="1">
        <f t="array" ref="K875">IF(COUNTA(_xlfn.UNIQUE(_xlfn._xlws.FILTER($C$2:$C$1001,$B$2:$B$1001=B875)))=1,1,0)</f>
        <v>1</v>
      </c>
    </row>
    <row r="876" spans="1:11" x14ac:dyDescent="0.2">
      <c r="A876" t="s">
        <v>908</v>
      </c>
      <c r="B876" t="s">
        <v>793</v>
      </c>
      <c r="C876" t="s">
        <v>274</v>
      </c>
      <c r="D876" t="s">
        <v>1088</v>
      </c>
      <c r="E876">
        <v>62</v>
      </c>
      <c r="F876">
        <v>9725</v>
      </c>
      <c r="G876">
        <v>38.69</v>
      </c>
      <c r="H876">
        <v>1</v>
      </c>
      <c r="I876">
        <v>1</v>
      </c>
      <c r="J876">
        <v>2</v>
      </c>
      <c r="K876" cm="1">
        <f t="array" ref="K876">IF(COUNTA(_xlfn.UNIQUE(_xlfn._xlws.FILTER($C$2:$C$1001,$B$2:$B$1001=B876)))=1,1,0)</f>
        <v>1</v>
      </c>
    </row>
    <row r="877" spans="1:11" x14ac:dyDescent="0.2">
      <c r="A877" t="s">
        <v>909</v>
      </c>
      <c r="B877" t="s">
        <v>784</v>
      </c>
      <c r="C877" t="s">
        <v>527</v>
      </c>
      <c r="D877" t="s">
        <v>1086</v>
      </c>
      <c r="E877">
        <v>58</v>
      </c>
      <c r="F877">
        <v>12420</v>
      </c>
      <c r="G877">
        <v>40.5</v>
      </c>
      <c r="H877">
        <v>2</v>
      </c>
      <c r="I877">
        <v>1</v>
      </c>
      <c r="J877">
        <v>2</v>
      </c>
      <c r="K877" cm="1">
        <f t="array" ref="K877">IF(COUNTA(_xlfn.UNIQUE(_xlfn._xlws.FILTER($C$2:$C$1001,$B$2:$B$1001=B877)))=1,1,0)</f>
        <v>1</v>
      </c>
    </row>
    <row r="878" spans="1:11" x14ac:dyDescent="0.2">
      <c r="A878" t="s">
        <v>910</v>
      </c>
      <c r="B878" t="s">
        <v>788</v>
      </c>
      <c r="C878" t="s">
        <v>527</v>
      </c>
      <c r="D878" t="s">
        <v>1087</v>
      </c>
      <c r="E878">
        <v>64</v>
      </c>
      <c r="F878">
        <v>18391</v>
      </c>
      <c r="G878">
        <v>42.23</v>
      </c>
      <c r="H878">
        <v>3</v>
      </c>
      <c r="I878">
        <v>1</v>
      </c>
      <c r="J878">
        <v>1</v>
      </c>
      <c r="K878" cm="1">
        <f t="array" ref="K878">IF(COUNTA(_xlfn.UNIQUE(_xlfn._xlws.FILTER($C$2:$C$1001,$B$2:$B$1001=B878)))=1,1,0)</f>
        <v>1</v>
      </c>
    </row>
    <row r="879" spans="1:11" x14ac:dyDescent="0.2">
      <c r="A879" t="s">
        <v>911</v>
      </c>
      <c r="B879" t="s">
        <v>793</v>
      </c>
      <c r="C879" t="s">
        <v>274</v>
      </c>
      <c r="D879" t="s">
        <v>1088</v>
      </c>
      <c r="E879">
        <v>68</v>
      </c>
      <c r="F879">
        <v>12174</v>
      </c>
      <c r="G879">
        <v>17.010000000000002</v>
      </c>
      <c r="H879">
        <v>3</v>
      </c>
      <c r="I879">
        <v>1</v>
      </c>
      <c r="J879">
        <v>2</v>
      </c>
      <c r="K879" cm="1">
        <f t="array" ref="K879">IF(COUNTA(_xlfn.UNIQUE(_xlfn._xlws.FILTER($C$2:$C$1001,$B$2:$B$1001=B879)))=1,1,0)</f>
        <v>1</v>
      </c>
    </row>
    <row r="880" spans="1:11" x14ac:dyDescent="0.2">
      <c r="A880" t="s">
        <v>912</v>
      </c>
      <c r="B880" t="s">
        <v>784</v>
      </c>
      <c r="C880" t="s">
        <v>527</v>
      </c>
      <c r="D880" t="s">
        <v>1086</v>
      </c>
      <c r="E880">
        <v>30</v>
      </c>
      <c r="F880">
        <v>17641</v>
      </c>
      <c r="G880">
        <v>48.2</v>
      </c>
      <c r="H880">
        <v>3</v>
      </c>
      <c r="I880">
        <v>1</v>
      </c>
      <c r="J880">
        <v>1</v>
      </c>
      <c r="K880" cm="1">
        <f t="array" ref="K880">IF(COUNTA(_xlfn.UNIQUE(_xlfn._xlws.FILTER($C$2:$C$1001,$B$2:$B$1001=B880)))=1,1,0)</f>
        <v>1</v>
      </c>
    </row>
    <row r="881" spans="1:11" x14ac:dyDescent="0.2">
      <c r="A881" t="s">
        <v>913</v>
      </c>
      <c r="B881" t="s">
        <v>784</v>
      </c>
      <c r="C881" t="s">
        <v>527</v>
      </c>
      <c r="D881" t="s">
        <v>1086</v>
      </c>
      <c r="E881">
        <v>85</v>
      </c>
      <c r="F881">
        <v>14308</v>
      </c>
      <c r="G881">
        <v>28.79</v>
      </c>
      <c r="H881">
        <v>2</v>
      </c>
      <c r="I881">
        <v>3</v>
      </c>
      <c r="J881">
        <v>2</v>
      </c>
      <c r="K881" cm="1">
        <f t="array" ref="K881">IF(COUNTA(_xlfn.UNIQUE(_xlfn._xlws.FILTER($C$2:$C$1001,$B$2:$B$1001=B881)))=1,1,0)</f>
        <v>1</v>
      </c>
    </row>
    <row r="882" spans="1:11" x14ac:dyDescent="0.2">
      <c r="A882" t="s">
        <v>914</v>
      </c>
      <c r="B882" t="s">
        <v>793</v>
      </c>
      <c r="C882" t="s">
        <v>274</v>
      </c>
      <c r="D882" t="s">
        <v>1088</v>
      </c>
      <c r="E882">
        <v>31</v>
      </c>
      <c r="F882">
        <v>6736</v>
      </c>
      <c r="G882">
        <v>36.56</v>
      </c>
      <c r="H882">
        <v>2</v>
      </c>
      <c r="I882">
        <v>3</v>
      </c>
      <c r="J882">
        <v>1</v>
      </c>
      <c r="K882" cm="1">
        <f t="array" ref="K882">IF(COUNTA(_xlfn.UNIQUE(_xlfn._xlws.FILTER($C$2:$C$1001,$B$2:$B$1001=B882)))=1,1,0)</f>
        <v>1</v>
      </c>
    </row>
    <row r="883" spans="1:11" x14ac:dyDescent="0.2">
      <c r="A883" t="s">
        <v>915</v>
      </c>
      <c r="B883" t="s">
        <v>793</v>
      </c>
      <c r="C883" t="s">
        <v>274</v>
      </c>
      <c r="D883" t="s">
        <v>1088</v>
      </c>
      <c r="E883">
        <v>19</v>
      </c>
      <c r="F883">
        <v>6764</v>
      </c>
      <c r="G883">
        <v>33.26</v>
      </c>
      <c r="H883">
        <v>1</v>
      </c>
      <c r="I883">
        <v>1</v>
      </c>
      <c r="J883">
        <v>2</v>
      </c>
      <c r="K883" cm="1">
        <f t="array" ref="K883">IF(COUNTA(_xlfn.UNIQUE(_xlfn._xlws.FILTER($C$2:$C$1001,$B$2:$B$1001=B883)))=1,1,0)</f>
        <v>1</v>
      </c>
    </row>
    <row r="884" spans="1:11" x14ac:dyDescent="0.2">
      <c r="A884" t="s">
        <v>916</v>
      </c>
      <c r="B884" t="s">
        <v>784</v>
      </c>
      <c r="C884" t="s">
        <v>527</v>
      </c>
      <c r="D884" t="s">
        <v>1086</v>
      </c>
      <c r="E884">
        <v>45</v>
      </c>
      <c r="F884">
        <v>19382</v>
      </c>
      <c r="G884">
        <v>35.82</v>
      </c>
      <c r="H884">
        <v>2</v>
      </c>
      <c r="I884">
        <v>1</v>
      </c>
      <c r="J884">
        <v>1</v>
      </c>
      <c r="K884" cm="1">
        <f t="array" ref="K884">IF(COUNTA(_xlfn.UNIQUE(_xlfn._xlws.FILTER($C$2:$C$1001,$B$2:$B$1001=B884)))=1,1,0)</f>
        <v>1</v>
      </c>
    </row>
    <row r="885" spans="1:11" x14ac:dyDescent="0.2">
      <c r="A885" t="s">
        <v>917</v>
      </c>
      <c r="B885" t="s">
        <v>793</v>
      </c>
      <c r="C885" t="s">
        <v>274</v>
      </c>
      <c r="D885" t="s">
        <v>1088</v>
      </c>
      <c r="E885">
        <v>87</v>
      </c>
      <c r="F885">
        <v>5391</v>
      </c>
      <c r="G885">
        <v>27.07</v>
      </c>
      <c r="H885">
        <v>1</v>
      </c>
      <c r="I885">
        <v>2</v>
      </c>
      <c r="J885">
        <v>1</v>
      </c>
      <c r="K885" cm="1">
        <f t="array" ref="K885">IF(COUNTA(_xlfn.UNIQUE(_xlfn._xlws.FILTER($C$2:$C$1001,$B$2:$B$1001=B885)))=1,1,0)</f>
        <v>1</v>
      </c>
    </row>
    <row r="886" spans="1:11" x14ac:dyDescent="0.2">
      <c r="A886" t="s">
        <v>918</v>
      </c>
      <c r="B886" t="s">
        <v>782</v>
      </c>
      <c r="C886" t="s">
        <v>18</v>
      </c>
      <c r="D886" t="s">
        <v>1085</v>
      </c>
      <c r="E886">
        <v>70</v>
      </c>
      <c r="F886">
        <v>16930</v>
      </c>
      <c r="G886">
        <v>32.46</v>
      </c>
      <c r="H886">
        <v>2</v>
      </c>
      <c r="I886">
        <v>1</v>
      </c>
      <c r="J886">
        <v>2</v>
      </c>
      <c r="K886" cm="1">
        <f t="array" ref="K886">IF(COUNTA(_xlfn.UNIQUE(_xlfn._xlws.FILTER($C$2:$C$1001,$B$2:$B$1001=B886)))=1,1,0)</f>
        <v>1</v>
      </c>
    </row>
    <row r="887" spans="1:11" x14ac:dyDescent="0.2">
      <c r="A887" t="s">
        <v>919</v>
      </c>
      <c r="B887" t="s">
        <v>788</v>
      </c>
      <c r="C887" t="s">
        <v>527</v>
      </c>
      <c r="D887" t="s">
        <v>1087</v>
      </c>
      <c r="E887">
        <v>59</v>
      </c>
      <c r="F887">
        <v>11671</v>
      </c>
      <c r="G887">
        <v>33.32</v>
      </c>
      <c r="H887">
        <v>2</v>
      </c>
      <c r="I887">
        <v>1</v>
      </c>
      <c r="J887">
        <v>1</v>
      </c>
      <c r="K887" cm="1">
        <f t="array" ref="K887">IF(COUNTA(_xlfn.UNIQUE(_xlfn._xlws.FILTER($C$2:$C$1001,$B$2:$B$1001=B887)))=1,1,0)</f>
        <v>1</v>
      </c>
    </row>
    <row r="888" spans="1:11" x14ac:dyDescent="0.2">
      <c r="A888" t="s">
        <v>920</v>
      </c>
      <c r="B888" t="s">
        <v>793</v>
      </c>
      <c r="C888" t="s">
        <v>274</v>
      </c>
      <c r="D888" t="s">
        <v>1088</v>
      </c>
      <c r="E888">
        <v>79</v>
      </c>
      <c r="F888">
        <v>8883</v>
      </c>
      <c r="G888">
        <v>11.91</v>
      </c>
      <c r="H888">
        <v>1</v>
      </c>
      <c r="I888">
        <v>3</v>
      </c>
      <c r="J888">
        <v>2</v>
      </c>
      <c r="K888" cm="1">
        <f t="array" ref="K888">IF(COUNTA(_xlfn.UNIQUE(_xlfn._xlws.FILTER($C$2:$C$1001,$B$2:$B$1001=B888)))=1,1,0)</f>
        <v>1</v>
      </c>
    </row>
    <row r="889" spans="1:11" x14ac:dyDescent="0.2">
      <c r="A889" t="s">
        <v>921</v>
      </c>
      <c r="B889" t="s">
        <v>788</v>
      </c>
      <c r="C889" t="s">
        <v>527</v>
      </c>
      <c r="D889" t="s">
        <v>1087</v>
      </c>
      <c r="E889">
        <v>49</v>
      </c>
      <c r="F889">
        <v>19168</v>
      </c>
      <c r="G889">
        <v>25.42</v>
      </c>
      <c r="H889">
        <v>2</v>
      </c>
      <c r="I889">
        <v>2</v>
      </c>
      <c r="J889">
        <v>1</v>
      </c>
      <c r="K889" cm="1">
        <f t="array" ref="K889">IF(COUNTA(_xlfn.UNIQUE(_xlfn._xlws.FILTER($C$2:$C$1001,$B$2:$B$1001=B889)))=1,1,0)</f>
        <v>1</v>
      </c>
    </row>
    <row r="890" spans="1:11" x14ac:dyDescent="0.2">
      <c r="A890" t="s">
        <v>922</v>
      </c>
      <c r="B890" t="s">
        <v>784</v>
      </c>
      <c r="C890" t="s">
        <v>527</v>
      </c>
      <c r="D890" t="s">
        <v>1086</v>
      </c>
      <c r="E890">
        <v>37</v>
      </c>
      <c r="F890">
        <v>9277</v>
      </c>
      <c r="G890">
        <v>20.49</v>
      </c>
      <c r="H890">
        <v>1</v>
      </c>
      <c r="I890">
        <v>1</v>
      </c>
      <c r="J890">
        <v>1</v>
      </c>
      <c r="K890" cm="1">
        <f t="array" ref="K890">IF(COUNTA(_xlfn.UNIQUE(_xlfn._xlws.FILTER($C$2:$C$1001,$B$2:$B$1001=B890)))=1,1,0)</f>
        <v>1</v>
      </c>
    </row>
    <row r="891" spans="1:11" x14ac:dyDescent="0.2">
      <c r="A891" t="s">
        <v>923</v>
      </c>
      <c r="B891" t="s">
        <v>788</v>
      </c>
      <c r="C891" t="s">
        <v>527</v>
      </c>
      <c r="D891" t="s">
        <v>1087</v>
      </c>
      <c r="E891">
        <v>15</v>
      </c>
      <c r="F891">
        <v>14716</v>
      </c>
      <c r="G891">
        <v>29.63</v>
      </c>
      <c r="H891">
        <v>1</v>
      </c>
      <c r="I891">
        <v>3</v>
      </c>
      <c r="J891">
        <v>2</v>
      </c>
      <c r="K891" cm="1">
        <f t="array" ref="K891">IF(COUNTA(_xlfn.UNIQUE(_xlfn._xlws.FILTER($C$2:$C$1001,$B$2:$B$1001=B891)))=1,1,0)</f>
        <v>1</v>
      </c>
    </row>
    <row r="892" spans="1:11" x14ac:dyDescent="0.2">
      <c r="A892" t="s">
        <v>924</v>
      </c>
      <c r="B892" t="s">
        <v>782</v>
      </c>
      <c r="C892" t="s">
        <v>18</v>
      </c>
      <c r="D892" t="s">
        <v>1085</v>
      </c>
      <c r="E892">
        <v>84</v>
      </c>
      <c r="F892">
        <v>12213</v>
      </c>
      <c r="G892">
        <v>31.18</v>
      </c>
      <c r="H892">
        <v>2</v>
      </c>
      <c r="I892">
        <v>2</v>
      </c>
      <c r="J892">
        <v>2</v>
      </c>
      <c r="K892" cm="1">
        <f t="array" ref="K892">IF(COUNTA(_xlfn.UNIQUE(_xlfn._xlws.FILTER($C$2:$C$1001,$B$2:$B$1001=B892)))=1,1,0)</f>
        <v>1</v>
      </c>
    </row>
    <row r="893" spans="1:11" x14ac:dyDescent="0.2">
      <c r="A893" t="s">
        <v>925</v>
      </c>
      <c r="B893" t="s">
        <v>788</v>
      </c>
      <c r="C893" t="s">
        <v>527</v>
      </c>
      <c r="D893" t="s">
        <v>1087</v>
      </c>
      <c r="E893">
        <v>50</v>
      </c>
      <c r="F893">
        <v>6909</v>
      </c>
      <c r="G893">
        <v>49.98</v>
      </c>
      <c r="H893">
        <v>2</v>
      </c>
      <c r="I893">
        <v>2</v>
      </c>
      <c r="J893">
        <v>2</v>
      </c>
      <c r="K893" cm="1">
        <f t="array" ref="K893">IF(COUNTA(_xlfn.UNIQUE(_xlfn._xlws.FILTER($C$2:$C$1001,$B$2:$B$1001=B893)))=1,1,0)</f>
        <v>1</v>
      </c>
    </row>
    <row r="894" spans="1:11" x14ac:dyDescent="0.2">
      <c r="A894" t="s">
        <v>926</v>
      </c>
      <c r="B894" t="s">
        <v>782</v>
      </c>
      <c r="C894" t="s">
        <v>18</v>
      </c>
      <c r="D894" t="s">
        <v>1085</v>
      </c>
      <c r="E894">
        <v>67</v>
      </c>
      <c r="F894">
        <v>8061</v>
      </c>
      <c r="G894">
        <v>13.79</v>
      </c>
      <c r="H894">
        <v>3</v>
      </c>
      <c r="I894">
        <v>1</v>
      </c>
      <c r="J894">
        <v>2</v>
      </c>
      <c r="K894" cm="1">
        <f t="array" ref="K894">IF(COUNTA(_xlfn.UNIQUE(_xlfn._xlws.FILTER($C$2:$C$1001,$B$2:$B$1001=B894)))=1,1,0)</f>
        <v>1</v>
      </c>
    </row>
    <row r="895" spans="1:11" x14ac:dyDescent="0.2">
      <c r="A895" t="s">
        <v>927</v>
      </c>
      <c r="B895" t="s">
        <v>788</v>
      </c>
      <c r="C895" t="s">
        <v>527</v>
      </c>
      <c r="D895" t="s">
        <v>1087</v>
      </c>
      <c r="E895">
        <v>65</v>
      </c>
      <c r="F895">
        <v>12280</v>
      </c>
      <c r="G895">
        <v>37.409999999999997</v>
      </c>
      <c r="H895">
        <v>1</v>
      </c>
      <c r="I895">
        <v>1</v>
      </c>
      <c r="J895">
        <v>2</v>
      </c>
      <c r="K895" cm="1">
        <f t="array" ref="K895">IF(COUNTA(_xlfn.UNIQUE(_xlfn._xlws.FILTER($C$2:$C$1001,$B$2:$B$1001=B895)))=1,1,0)</f>
        <v>1</v>
      </c>
    </row>
    <row r="896" spans="1:11" x14ac:dyDescent="0.2">
      <c r="A896" t="s">
        <v>928</v>
      </c>
      <c r="B896" t="s">
        <v>782</v>
      </c>
      <c r="C896" t="s">
        <v>18</v>
      </c>
      <c r="D896" t="s">
        <v>1085</v>
      </c>
      <c r="E896">
        <v>55</v>
      </c>
      <c r="F896">
        <v>15284</v>
      </c>
      <c r="G896">
        <v>38.090000000000003</v>
      </c>
      <c r="H896">
        <v>1</v>
      </c>
      <c r="I896">
        <v>3</v>
      </c>
      <c r="J896">
        <v>2</v>
      </c>
      <c r="K896" cm="1">
        <f t="array" ref="K896">IF(COUNTA(_xlfn.UNIQUE(_xlfn._xlws.FILTER($C$2:$C$1001,$B$2:$B$1001=B896)))=1,1,0)</f>
        <v>1</v>
      </c>
    </row>
    <row r="897" spans="1:11" x14ac:dyDescent="0.2">
      <c r="A897" t="s">
        <v>929</v>
      </c>
      <c r="B897" t="s">
        <v>784</v>
      </c>
      <c r="C897" t="s">
        <v>527</v>
      </c>
      <c r="D897" t="s">
        <v>1086</v>
      </c>
      <c r="E897">
        <v>53</v>
      </c>
      <c r="F897">
        <v>13458</v>
      </c>
      <c r="G897">
        <v>18.79</v>
      </c>
      <c r="H897">
        <v>1</v>
      </c>
      <c r="I897">
        <v>1</v>
      </c>
      <c r="J897">
        <v>2</v>
      </c>
      <c r="K897" cm="1">
        <f t="array" ref="K897">IF(COUNTA(_xlfn.UNIQUE(_xlfn._xlws.FILTER($C$2:$C$1001,$B$2:$B$1001=B897)))=1,1,0)</f>
        <v>1</v>
      </c>
    </row>
    <row r="898" spans="1:11" x14ac:dyDescent="0.2">
      <c r="A898" t="s">
        <v>930</v>
      </c>
      <c r="B898" t="s">
        <v>782</v>
      </c>
      <c r="C898" t="s">
        <v>18</v>
      </c>
      <c r="D898" t="s">
        <v>1085</v>
      </c>
      <c r="E898">
        <v>88</v>
      </c>
      <c r="F898">
        <v>14063</v>
      </c>
      <c r="G898">
        <v>34.880000000000003</v>
      </c>
      <c r="H898">
        <v>3</v>
      </c>
      <c r="I898">
        <v>2</v>
      </c>
      <c r="J898">
        <v>2</v>
      </c>
      <c r="K898" cm="1">
        <f t="array" ref="K898">IF(COUNTA(_xlfn.UNIQUE(_xlfn._xlws.FILTER($C$2:$C$1001,$B$2:$B$1001=B898)))=1,1,0)</f>
        <v>1</v>
      </c>
    </row>
    <row r="899" spans="1:11" x14ac:dyDescent="0.2">
      <c r="A899" t="s">
        <v>931</v>
      </c>
      <c r="B899" t="s">
        <v>793</v>
      </c>
      <c r="C899" t="s">
        <v>274</v>
      </c>
      <c r="D899" t="s">
        <v>1088</v>
      </c>
      <c r="E899">
        <v>45</v>
      </c>
      <c r="F899">
        <v>9357</v>
      </c>
      <c r="G899">
        <v>10.4</v>
      </c>
      <c r="H899">
        <v>1</v>
      </c>
      <c r="I899">
        <v>3</v>
      </c>
      <c r="J899">
        <v>2</v>
      </c>
      <c r="K899" cm="1">
        <f t="array" ref="K899">IF(COUNTA(_xlfn.UNIQUE(_xlfn._xlws.FILTER($C$2:$C$1001,$B$2:$B$1001=B899)))=1,1,0)</f>
        <v>1</v>
      </c>
    </row>
    <row r="900" spans="1:11" x14ac:dyDescent="0.2">
      <c r="A900" t="s">
        <v>932</v>
      </c>
      <c r="B900" t="s">
        <v>784</v>
      </c>
      <c r="C900" t="s">
        <v>527</v>
      </c>
      <c r="D900" t="s">
        <v>1086</v>
      </c>
      <c r="E900">
        <v>42</v>
      </c>
      <c r="F900">
        <v>16401</v>
      </c>
      <c r="G900">
        <v>34.15</v>
      </c>
      <c r="H900">
        <v>1</v>
      </c>
      <c r="I900">
        <v>1</v>
      </c>
      <c r="J900">
        <v>1</v>
      </c>
      <c r="K900" cm="1">
        <f t="array" ref="K900">IF(COUNTA(_xlfn.UNIQUE(_xlfn._xlws.FILTER($C$2:$C$1001,$B$2:$B$1001=B900)))=1,1,0)</f>
        <v>1</v>
      </c>
    </row>
    <row r="901" spans="1:11" x14ac:dyDescent="0.2">
      <c r="A901" t="s">
        <v>933</v>
      </c>
      <c r="B901" t="s">
        <v>793</v>
      </c>
      <c r="C901" t="s">
        <v>274</v>
      </c>
      <c r="D901" t="s">
        <v>1088</v>
      </c>
      <c r="E901">
        <v>77</v>
      </c>
      <c r="F901">
        <v>13728</v>
      </c>
      <c r="G901">
        <v>24.87</v>
      </c>
      <c r="H901">
        <v>1</v>
      </c>
      <c r="I901">
        <v>1</v>
      </c>
      <c r="J901">
        <v>1</v>
      </c>
      <c r="K901" cm="1">
        <f t="array" ref="K901">IF(COUNTA(_xlfn.UNIQUE(_xlfn._xlws.FILTER($C$2:$C$1001,$B$2:$B$1001=B901)))=1,1,0)</f>
        <v>1</v>
      </c>
    </row>
    <row r="902" spans="1:11" x14ac:dyDescent="0.2">
      <c r="A902" t="s">
        <v>934</v>
      </c>
      <c r="B902" t="s">
        <v>793</v>
      </c>
      <c r="C902" t="s">
        <v>274</v>
      </c>
      <c r="D902" t="s">
        <v>1088</v>
      </c>
      <c r="E902">
        <v>29</v>
      </c>
      <c r="F902">
        <v>8400</v>
      </c>
      <c r="G902">
        <v>43.64</v>
      </c>
      <c r="H902">
        <v>1</v>
      </c>
      <c r="I902">
        <v>1</v>
      </c>
      <c r="J902">
        <v>2</v>
      </c>
      <c r="K902" cm="1">
        <f t="array" ref="K902">IF(COUNTA(_xlfn.UNIQUE(_xlfn._xlws.FILTER($C$2:$C$1001,$B$2:$B$1001=B902)))=1,1,0)</f>
        <v>1</v>
      </c>
    </row>
    <row r="903" spans="1:11" x14ac:dyDescent="0.2">
      <c r="A903" t="s">
        <v>935</v>
      </c>
      <c r="B903" t="s">
        <v>788</v>
      </c>
      <c r="C903" t="s">
        <v>527</v>
      </c>
      <c r="D903" t="s">
        <v>1087</v>
      </c>
      <c r="E903">
        <v>37</v>
      </c>
      <c r="F903">
        <v>6103</v>
      </c>
      <c r="G903">
        <v>12.09</v>
      </c>
      <c r="H903">
        <v>3</v>
      </c>
      <c r="I903">
        <v>2</v>
      </c>
      <c r="J903">
        <v>1</v>
      </c>
      <c r="K903" cm="1">
        <f t="array" ref="K903">IF(COUNTA(_xlfn.UNIQUE(_xlfn._xlws.FILTER($C$2:$C$1001,$B$2:$B$1001=B903)))=1,1,0)</f>
        <v>1</v>
      </c>
    </row>
    <row r="904" spans="1:11" x14ac:dyDescent="0.2">
      <c r="A904" t="s">
        <v>936</v>
      </c>
      <c r="B904" t="s">
        <v>793</v>
      </c>
      <c r="C904" t="s">
        <v>274</v>
      </c>
      <c r="D904" t="s">
        <v>1088</v>
      </c>
      <c r="E904">
        <v>74</v>
      </c>
      <c r="F904">
        <v>11017</v>
      </c>
      <c r="G904">
        <v>43.81</v>
      </c>
      <c r="H904">
        <v>3</v>
      </c>
      <c r="I904">
        <v>2</v>
      </c>
      <c r="J904">
        <v>1</v>
      </c>
      <c r="K904" cm="1">
        <f t="array" ref="K904">IF(COUNTA(_xlfn.UNIQUE(_xlfn._xlws.FILTER($C$2:$C$1001,$B$2:$B$1001=B904)))=1,1,0)</f>
        <v>1</v>
      </c>
    </row>
    <row r="905" spans="1:11" x14ac:dyDescent="0.2">
      <c r="A905" t="s">
        <v>937</v>
      </c>
      <c r="B905" t="s">
        <v>788</v>
      </c>
      <c r="C905" t="s">
        <v>527</v>
      </c>
      <c r="D905" t="s">
        <v>1087</v>
      </c>
      <c r="E905">
        <v>77</v>
      </c>
      <c r="F905">
        <v>14638</v>
      </c>
      <c r="G905">
        <v>48.39</v>
      </c>
      <c r="H905">
        <v>1</v>
      </c>
      <c r="I905">
        <v>3</v>
      </c>
      <c r="J905">
        <v>1</v>
      </c>
      <c r="K905" cm="1">
        <f t="array" ref="K905">IF(COUNTA(_xlfn.UNIQUE(_xlfn._xlws.FILTER($C$2:$C$1001,$B$2:$B$1001=B905)))=1,1,0)</f>
        <v>1</v>
      </c>
    </row>
    <row r="906" spans="1:11" x14ac:dyDescent="0.2">
      <c r="A906" t="s">
        <v>938</v>
      </c>
      <c r="B906" t="s">
        <v>782</v>
      </c>
      <c r="C906" t="s">
        <v>18</v>
      </c>
      <c r="D906" t="s">
        <v>1085</v>
      </c>
      <c r="E906">
        <v>32</v>
      </c>
      <c r="F906">
        <v>16560</v>
      </c>
      <c r="G906">
        <v>44.33</v>
      </c>
      <c r="H906">
        <v>2</v>
      </c>
      <c r="I906">
        <v>1</v>
      </c>
      <c r="J906">
        <v>2</v>
      </c>
      <c r="K906" cm="1">
        <f t="array" ref="K906">IF(COUNTA(_xlfn.UNIQUE(_xlfn._xlws.FILTER($C$2:$C$1001,$B$2:$B$1001=B906)))=1,1,0)</f>
        <v>1</v>
      </c>
    </row>
    <row r="907" spans="1:11" x14ac:dyDescent="0.2">
      <c r="A907" t="s">
        <v>939</v>
      </c>
      <c r="B907" t="s">
        <v>788</v>
      </c>
      <c r="C907" t="s">
        <v>527</v>
      </c>
      <c r="D907" t="s">
        <v>1087</v>
      </c>
      <c r="E907">
        <v>76</v>
      </c>
      <c r="F907">
        <v>8740</v>
      </c>
      <c r="G907">
        <v>44.72</v>
      </c>
      <c r="H907">
        <v>2</v>
      </c>
      <c r="I907">
        <v>1</v>
      </c>
      <c r="J907">
        <v>1</v>
      </c>
      <c r="K907" cm="1">
        <f t="array" ref="K907">IF(COUNTA(_xlfn.UNIQUE(_xlfn._xlws.FILTER($C$2:$C$1001,$B$2:$B$1001=B907)))=1,1,0)</f>
        <v>1</v>
      </c>
    </row>
    <row r="908" spans="1:11" x14ac:dyDescent="0.2">
      <c r="A908" t="s">
        <v>940</v>
      </c>
      <c r="B908" t="s">
        <v>793</v>
      </c>
      <c r="C908" t="s">
        <v>274</v>
      </c>
      <c r="D908" t="s">
        <v>1088</v>
      </c>
      <c r="E908">
        <v>71</v>
      </c>
      <c r="F908">
        <v>11941</v>
      </c>
      <c r="G908">
        <v>23.46</v>
      </c>
      <c r="H908">
        <v>1</v>
      </c>
      <c r="I908">
        <v>2</v>
      </c>
      <c r="J908">
        <v>1</v>
      </c>
      <c r="K908" cm="1">
        <f t="array" ref="K908">IF(COUNTA(_xlfn.UNIQUE(_xlfn._xlws.FILTER($C$2:$C$1001,$B$2:$B$1001=B908)))=1,1,0)</f>
        <v>1</v>
      </c>
    </row>
    <row r="909" spans="1:11" x14ac:dyDescent="0.2">
      <c r="A909" t="s">
        <v>941</v>
      </c>
      <c r="B909" t="s">
        <v>788</v>
      </c>
      <c r="C909" t="s">
        <v>527</v>
      </c>
      <c r="D909" t="s">
        <v>1087</v>
      </c>
      <c r="E909">
        <v>58</v>
      </c>
      <c r="F909">
        <v>9234</v>
      </c>
      <c r="G909">
        <v>39.74</v>
      </c>
      <c r="H909">
        <v>1</v>
      </c>
      <c r="I909">
        <v>1</v>
      </c>
      <c r="J909">
        <v>1</v>
      </c>
      <c r="K909" cm="1">
        <f t="array" ref="K909">IF(COUNTA(_xlfn.UNIQUE(_xlfn._xlws.FILTER($C$2:$C$1001,$B$2:$B$1001=B909)))=1,1,0)</f>
        <v>1</v>
      </c>
    </row>
    <row r="910" spans="1:11" x14ac:dyDescent="0.2">
      <c r="A910" t="s">
        <v>942</v>
      </c>
      <c r="B910" t="s">
        <v>788</v>
      </c>
      <c r="C910" t="s">
        <v>527</v>
      </c>
      <c r="D910" t="s">
        <v>1087</v>
      </c>
      <c r="E910">
        <v>32</v>
      </c>
      <c r="F910">
        <v>17762</v>
      </c>
      <c r="G910">
        <v>38.520000000000003</v>
      </c>
      <c r="H910">
        <v>1</v>
      </c>
      <c r="I910">
        <v>1</v>
      </c>
      <c r="J910">
        <v>1</v>
      </c>
      <c r="K910" cm="1">
        <f t="array" ref="K910">IF(COUNTA(_xlfn.UNIQUE(_xlfn._xlws.FILTER($C$2:$C$1001,$B$2:$B$1001=B910)))=1,1,0)</f>
        <v>1</v>
      </c>
    </row>
    <row r="911" spans="1:11" x14ac:dyDescent="0.2">
      <c r="A911" t="s">
        <v>943</v>
      </c>
      <c r="B911" t="s">
        <v>793</v>
      </c>
      <c r="C911" t="s">
        <v>274</v>
      </c>
      <c r="D911" t="s">
        <v>1088</v>
      </c>
      <c r="E911">
        <v>83</v>
      </c>
      <c r="F911">
        <v>13705</v>
      </c>
      <c r="G911">
        <v>34.31</v>
      </c>
      <c r="H911">
        <v>1</v>
      </c>
      <c r="I911">
        <v>1</v>
      </c>
      <c r="J911">
        <v>1</v>
      </c>
      <c r="K911" cm="1">
        <f t="array" ref="K911">IF(COUNTA(_xlfn.UNIQUE(_xlfn._xlws.FILTER($C$2:$C$1001,$B$2:$B$1001=B911)))=1,1,0)</f>
        <v>1</v>
      </c>
    </row>
    <row r="912" spans="1:11" x14ac:dyDescent="0.2">
      <c r="A912" t="s">
        <v>944</v>
      </c>
      <c r="B912" t="s">
        <v>782</v>
      </c>
      <c r="C912" t="s">
        <v>18</v>
      </c>
      <c r="D912" t="s">
        <v>1085</v>
      </c>
      <c r="E912">
        <v>52</v>
      </c>
      <c r="F912">
        <v>12846</v>
      </c>
      <c r="G912">
        <v>26.81</v>
      </c>
      <c r="H912">
        <v>1</v>
      </c>
      <c r="I912">
        <v>1</v>
      </c>
      <c r="J912">
        <v>2</v>
      </c>
      <c r="K912" cm="1">
        <f t="array" ref="K912">IF(COUNTA(_xlfn.UNIQUE(_xlfn._xlws.FILTER($C$2:$C$1001,$B$2:$B$1001=B912)))=1,1,0)</f>
        <v>1</v>
      </c>
    </row>
    <row r="913" spans="1:11" x14ac:dyDescent="0.2">
      <c r="A913" t="s">
        <v>945</v>
      </c>
      <c r="B913" t="s">
        <v>784</v>
      </c>
      <c r="C913" t="s">
        <v>527</v>
      </c>
      <c r="D913" t="s">
        <v>1086</v>
      </c>
      <c r="E913">
        <v>25</v>
      </c>
      <c r="F913">
        <v>9508</v>
      </c>
      <c r="G913">
        <v>12.4</v>
      </c>
      <c r="H913">
        <v>3</v>
      </c>
      <c r="I913">
        <v>1</v>
      </c>
      <c r="J913">
        <v>2</v>
      </c>
      <c r="K913" cm="1">
        <f t="array" ref="K913">IF(COUNTA(_xlfn.UNIQUE(_xlfn._xlws.FILTER($C$2:$C$1001,$B$2:$B$1001=B913)))=1,1,0)</f>
        <v>1</v>
      </c>
    </row>
    <row r="914" spans="1:11" x14ac:dyDescent="0.2">
      <c r="A914" t="s">
        <v>946</v>
      </c>
      <c r="B914" t="s">
        <v>793</v>
      </c>
      <c r="C914" t="s">
        <v>274</v>
      </c>
      <c r="D914" t="s">
        <v>1088</v>
      </c>
      <c r="E914">
        <v>19</v>
      </c>
      <c r="F914">
        <v>8273</v>
      </c>
      <c r="G914">
        <v>44.95</v>
      </c>
      <c r="H914">
        <v>1</v>
      </c>
      <c r="I914">
        <v>2</v>
      </c>
      <c r="J914">
        <v>2</v>
      </c>
      <c r="K914" cm="1">
        <f t="array" ref="K914">IF(COUNTA(_xlfn.UNIQUE(_xlfn._xlws.FILTER($C$2:$C$1001,$B$2:$B$1001=B914)))=1,1,0)</f>
        <v>1</v>
      </c>
    </row>
    <row r="915" spans="1:11" x14ac:dyDescent="0.2">
      <c r="A915" t="s">
        <v>947</v>
      </c>
      <c r="B915" t="s">
        <v>793</v>
      </c>
      <c r="C915" t="s">
        <v>274</v>
      </c>
      <c r="D915" t="s">
        <v>1088</v>
      </c>
      <c r="E915">
        <v>69</v>
      </c>
      <c r="F915">
        <v>17664</v>
      </c>
      <c r="G915">
        <v>20</v>
      </c>
      <c r="H915">
        <v>2</v>
      </c>
      <c r="I915">
        <v>3</v>
      </c>
      <c r="J915">
        <v>2</v>
      </c>
      <c r="K915" cm="1">
        <f t="array" ref="K915">IF(COUNTA(_xlfn.UNIQUE(_xlfn._xlws.FILTER($C$2:$C$1001,$B$2:$B$1001=B915)))=1,1,0)</f>
        <v>1</v>
      </c>
    </row>
    <row r="916" spans="1:11" x14ac:dyDescent="0.2">
      <c r="A916" t="s">
        <v>948</v>
      </c>
      <c r="B916" t="s">
        <v>793</v>
      </c>
      <c r="C916" t="s">
        <v>274</v>
      </c>
      <c r="D916" t="s">
        <v>1088</v>
      </c>
      <c r="E916">
        <v>23</v>
      </c>
      <c r="F916">
        <v>11605</v>
      </c>
      <c r="G916">
        <v>20.89</v>
      </c>
      <c r="H916">
        <v>1</v>
      </c>
      <c r="I916">
        <v>2</v>
      </c>
      <c r="J916">
        <v>2</v>
      </c>
      <c r="K916" cm="1">
        <f t="array" ref="K916">IF(COUNTA(_xlfn.UNIQUE(_xlfn._xlws.FILTER($C$2:$C$1001,$B$2:$B$1001=B916)))=1,1,0)</f>
        <v>1</v>
      </c>
    </row>
    <row r="917" spans="1:11" x14ac:dyDescent="0.2">
      <c r="A917" t="s">
        <v>949</v>
      </c>
      <c r="B917" t="s">
        <v>784</v>
      </c>
      <c r="C917" t="s">
        <v>527</v>
      </c>
      <c r="D917" t="s">
        <v>1086</v>
      </c>
      <c r="E917">
        <v>80</v>
      </c>
      <c r="F917">
        <v>6875</v>
      </c>
      <c r="G917">
        <v>33.86</v>
      </c>
      <c r="H917">
        <v>1</v>
      </c>
      <c r="I917">
        <v>1</v>
      </c>
      <c r="J917">
        <v>2</v>
      </c>
      <c r="K917" cm="1">
        <f t="array" ref="K917">IF(COUNTA(_xlfn.UNIQUE(_xlfn._xlws.FILTER($C$2:$C$1001,$B$2:$B$1001=B917)))=1,1,0)</f>
        <v>1</v>
      </c>
    </row>
    <row r="918" spans="1:11" x14ac:dyDescent="0.2">
      <c r="A918" t="s">
        <v>950</v>
      </c>
      <c r="B918" t="s">
        <v>782</v>
      </c>
      <c r="C918" t="s">
        <v>18</v>
      </c>
      <c r="D918" t="s">
        <v>1085</v>
      </c>
      <c r="E918">
        <v>64</v>
      </c>
      <c r="F918">
        <v>9311</v>
      </c>
      <c r="G918">
        <v>31.47</v>
      </c>
      <c r="H918">
        <v>2</v>
      </c>
      <c r="I918">
        <v>3</v>
      </c>
      <c r="J918">
        <v>2</v>
      </c>
      <c r="K918" cm="1">
        <f t="array" ref="K918">IF(COUNTA(_xlfn.UNIQUE(_xlfn._xlws.FILTER($C$2:$C$1001,$B$2:$B$1001=B918)))=1,1,0)</f>
        <v>1</v>
      </c>
    </row>
    <row r="919" spans="1:11" x14ac:dyDescent="0.2">
      <c r="A919" t="s">
        <v>951</v>
      </c>
      <c r="B919" t="s">
        <v>793</v>
      </c>
      <c r="C919" t="s">
        <v>274</v>
      </c>
      <c r="D919" t="s">
        <v>1088</v>
      </c>
      <c r="E919">
        <v>85</v>
      </c>
      <c r="F919">
        <v>15629</v>
      </c>
      <c r="G919">
        <v>11.45</v>
      </c>
      <c r="H919">
        <v>1</v>
      </c>
      <c r="I919">
        <v>1</v>
      </c>
      <c r="J919">
        <v>2</v>
      </c>
      <c r="K919" cm="1">
        <f t="array" ref="K919">IF(COUNTA(_xlfn.UNIQUE(_xlfn._xlws.FILTER($C$2:$C$1001,$B$2:$B$1001=B919)))=1,1,0)</f>
        <v>1</v>
      </c>
    </row>
    <row r="920" spans="1:11" x14ac:dyDescent="0.2">
      <c r="A920" t="s">
        <v>952</v>
      </c>
      <c r="B920" t="s">
        <v>782</v>
      </c>
      <c r="C920" t="s">
        <v>18</v>
      </c>
      <c r="D920" t="s">
        <v>1085</v>
      </c>
      <c r="E920">
        <v>71</v>
      </c>
      <c r="F920">
        <v>16109</v>
      </c>
      <c r="G920">
        <v>22.23</v>
      </c>
      <c r="H920">
        <v>3</v>
      </c>
      <c r="I920">
        <v>1</v>
      </c>
      <c r="J920">
        <v>1</v>
      </c>
      <c r="K920" cm="1">
        <f t="array" ref="K920">IF(COUNTA(_xlfn.UNIQUE(_xlfn._xlws.FILTER($C$2:$C$1001,$B$2:$B$1001=B920)))=1,1,0)</f>
        <v>1</v>
      </c>
    </row>
    <row r="921" spans="1:11" x14ac:dyDescent="0.2">
      <c r="A921" t="s">
        <v>953</v>
      </c>
      <c r="B921" t="s">
        <v>784</v>
      </c>
      <c r="C921" t="s">
        <v>527</v>
      </c>
      <c r="D921" t="s">
        <v>1086</v>
      </c>
      <c r="E921">
        <v>77</v>
      </c>
      <c r="F921">
        <v>9005</v>
      </c>
      <c r="G921">
        <v>21.43</v>
      </c>
      <c r="H921">
        <v>2</v>
      </c>
      <c r="I921">
        <v>3</v>
      </c>
      <c r="J921">
        <v>1</v>
      </c>
      <c r="K921" cm="1">
        <f t="array" ref="K921">IF(COUNTA(_xlfn.UNIQUE(_xlfn._xlws.FILTER($C$2:$C$1001,$B$2:$B$1001=B921)))=1,1,0)</f>
        <v>1</v>
      </c>
    </row>
    <row r="922" spans="1:11" x14ac:dyDescent="0.2">
      <c r="A922" t="s">
        <v>954</v>
      </c>
      <c r="B922" t="s">
        <v>788</v>
      </c>
      <c r="C922" t="s">
        <v>527</v>
      </c>
      <c r="D922" t="s">
        <v>1087</v>
      </c>
      <c r="E922">
        <v>61</v>
      </c>
      <c r="F922">
        <v>10260</v>
      </c>
      <c r="G922">
        <v>31.97</v>
      </c>
      <c r="H922">
        <v>1</v>
      </c>
      <c r="I922">
        <v>3</v>
      </c>
      <c r="J922">
        <v>2</v>
      </c>
      <c r="K922" cm="1">
        <f t="array" ref="K922">IF(COUNTA(_xlfn.UNIQUE(_xlfn._xlws.FILTER($C$2:$C$1001,$B$2:$B$1001=B922)))=1,1,0)</f>
        <v>1</v>
      </c>
    </row>
    <row r="923" spans="1:11" x14ac:dyDescent="0.2">
      <c r="A923" t="s">
        <v>955</v>
      </c>
      <c r="B923" t="s">
        <v>793</v>
      </c>
      <c r="C923" t="s">
        <v>274</v>
      </c>
      <c r="D923" t="s">
        <v>1088</v>
      </c>
      <c r="E923">
        <v>73</v>
      </c>
      <c r="F923">
        <v>8301</v>
      </c>
      <c r="G923">
        <v>27.99</v>
      </c>
      <c r="H923">
        <v>2</v>
      </c>
      <c r="I923">
        <v>2</v>
      </c>
      <c r="J923">
        <v>1</v>
      </c>
      <c r="K923" cm="1">
        <f t="array" ref="K923">IF(COUNTA(_xlfn.UNIQUE(_xlfn._xlws.FILTER($C$2:$C$1001,$B$2:$B$1001=B923)))=1,1,0)</f>
        <v>1</v>
      </c>
    </row>
    <row r="924" spans="1:11" x14ac:dyDescent="0.2">
      <c r="A924" t="s">
        <v>956</v>
      </c>
      <c r="B924" t="s">
        <v>784</v>
      </c>
      <c r="C924" t="s">
        <v>527</v>
      </c>
      <c r="D924" t="s">
        <v>1086</v>
      </c>
      <c r="E924">
        <v>56</v>
      </c>
      <c r="F924">
        <v>17915</v>
      </c>
      <c r="G924">
        <v>26.42</v>
      </c>
      <c r="H924">
        <v>2</v>
      </c>
      <c r="I924">
        <v>1</v>
      </c>
      <c r="J924">
        <v>2</v>
      </c>
      <c r="K924" cm="1">
        <f t="array" ref="K924">IF(COUNTA(_xlfn.UNIQUE(_xlfn._xlws.FILTER($C$2:$C$1001,$B$2:$B$1001=B924)))=1,1,0)</f>
        <v>1</v>
      </c>
    </row>
    <row r="925" spans="1:11" x14ac:dyDescent="0.2">
      <c r="A925" t="s">
        <v>957</v>
      </c>
      <c r="B925" t="s">
        <v>782</v>
      </c>
      <c r="C925" t="s">
        <v>18</v>
      </c>
      <c r="D925" t="s">
        <v>1085</v>
      </c>
      <c r="E925">
        <v>32</v>
      </c>
      <c r="F925">
        <v>14587</v>
      </c>
      <c r="G925">
        <v>44.6</v>
      </c>
      <c r="H925">
        <v>1</v>
      </c>
      <c r="I925">
        <v>2</v>
      </c>
      <c r="J925">
        <v>1</v>
      </c>
      <c r="K925" cm="1">
        <f t="array" ref="K925">IF(COUNTA(_xlfn.UNIQUE(_xlfn._xlws.FILTER($C$2:$C$1001,$B$2:$B$1001=B925)))=1,1,0)</f>
        <v>1</v>
      </c>
    </row>
    <row r="926" spans="1:11" x14ac:dyDescent="0.2">
      <c r="A926" t="s">
        <v>958</v>
      </c>
      <c r="B926" t="s">
        <v>788</v>
      </c>
      <c r="C926" t="s">
        <v>527</v>
      </c>
      <c r="D926" t="s">
        <v>1087</v>
      </c>
      <c r="E926">
        <v>26</v>
      </c>
      <c r="F926">
        <v>14280</v>
      </c>
      <c r="G926">
        <v>15.4</v>
      </c>
      <c r="H926">
        <v>3</v>
      </c>
      <c r="I926">
        <v>2</v>
      </c>
      <c r="J926">
        <v>2</v>
      </c>
      <c r="K926" cm="1">
        <f t="array" ref="K926">IF(COUNTA(_xlfn.UNIQUE(_xlfn._xlws.FILTER($C$2:$C$1001,$B$2:$B$1001=B926)))=1,1,0)</f>
        <v>1</v>
      </c>
    </row>
    <row r="927" spans="1:11" x14ac:dyDescent="0.2">
      <c r="A927" t="s">
        <v>959</v>
      </c>
      <c r="B927" t="s">
        <v>793</v>
      </c>
      <c r="C927" t="s">
        <v>274</v>
      </c>
      <c r="D927" t="s">
        <v>1088</v>
      </c>
      <c r="E927">
        <v>30</v>
      </c>
      <c r="F927">
        <v>19731</v>
      </c>
      <c r="G927">
        <v>40.270000000000003</v>
      </c>
      <c r="H927">
        <v>1</v>
      </c>
      <c r="I927">
        <v>1</v>
      </c>
      <c r="J927">
        <v>2</v>
      </c>
      <c r="K927" cm="1">
        <f t="array" ref="K927">IF(COUNTA(_xlfn.UNIQUE(_xlfn._xlws.FILTER($C$2:$C$1001,$B$2:$B$1001=B927)))=1,1,0)</f>
        <v>1</v>
      </c>
    </row>
    <row r="928" spans="1:11" x14ac:dyDescent="0.2">
      <c r="A928" t="s">
        <v>960</v>
      </c>
      <c r="B928" t="s">
        <v>782</v>
      </c>
      <c r="C928" t="s">
        <v>18</v>
      </c>
      <c r="D928" t="s">
        <v>1085</v>
      </c>
      <c r="E928">
        <v>32</v>
      </c>
      <c r="F928">
        <v>8003</v>
      </c>
      <c r="G928">
        <v>11.67</v>
      </c>
      <c r="H928">
        <v>1</v>
      </c>
      <c r="I928">
        <v>1</v>
      </c>
      <c r="J928">
        <v>1</v>
      </c>
      <c r="K928" cm="1">
        <f t="array" ref="K928">IF(COUNTA(_xlfn.UNIQUE(_xlfn._xlws.FILTER($C$2:$C$1001,$B$2:$B$1001=B928)))=1,1,0)</f>
        <v>1</v>
      </c>
    </row>
    <row r="929" spans="1:11" x14ac:dyDescent="0.2">
      <c r="A929" t="s">
        <v>961</v>
      </c>
      <c r="B929" t="s">
        <v>782</v>
      </c>
      <c r="C929" t="s">
        <v>18</v>
      </c>
      <c r="D929" t="s">
        <v>1085</v>
      </c>
      <c r="E929">
        <v>43</v>
      </c>
      <c r="F929">
        <v>16760</v>
      </c>
      <c r="G929">
        <v>36.22</v>
      </c>
      <c r="H929">
        <v>3</v>
      </c>
      <c r="I929">
        <v>1</v>
      </c>
      <c r="J929">
        <v>1</v>
      </c>
      <c r="K929" cm="1">
        <f t="array" ref="K929">IF(COUNTA(_xlfn.UNIQUE(_xlfn._xlws.FILTER($C$2:$C$1001,$B$2:$B$1001=B929)))=1,1,0)</f>
        <v>1</v>
      </c>
    </row>
    <row r="930" spans="1:11" x14ac:dyDescent="0.2">
      <c r="A930" t="s">
        <v>962</v>
      </c>
      <c r="B930" t="s">
        <v>793</v>
      </c>
      <c r="C930" t="s">
        <v>274</v>
      </c>
      <c r="D930" t="s">
        <v>1088</v>
      </c>
      <c r="E930">
        <v>20</v>
      </c>
      <c r="F930">
        <v>15139</v>
      </c>
      <c r="G930">
        <v>24.91</v>
      </c>
      <c r="H930">
        <v>2</v>
      </c>
      <c r="I930">
        <v>3</v>
      </c>
      <c r="J930">
        <v>1</v>
      </c>
      <c r="K930" cm="1">
        <f t="array" ref="K930">IF(COUNTA(_xlfn.UNIQUE(_xlfn._xlws.FILTER($C$2:$C$1001,$B$2:$B$1001=B930)))=1,1,0)</f>
        <v>1</v>
      </c>
    </row>
    <row r="931" spans="1:11" x14ac:dyDescent="0.2">
      <c r="A931" t="s">
        <v>963</v>
      </c>
      <c r="B931" t="s">
        <v>784</v>
      </c>
      <c r="C931" t="s">
        <v>527</v>
      </c>
      <c r="D931" t="s">
        <v>1086</v>
      </c>
      <c r="E931">
        <v>62</v>
      </c>
      <c r="F931">
        <v>16039</v>
      </c>
      <c r="G931">
        <v>42.13</v>
      </c>
      <c r="H931">
        <v>2</v>
      </c>
      <c r="I931">
        <v>1</v>
      </c>
      <c r="J931">
        <v>2</v>
      </c>
      <c r="K931" cm="1">
        <f t="array" ref="K931">IF(COUNTA(_xlfn.UNIQUE(_xlfn._xlws.FILTER($C$2:$C$1001,$B$2:$B$1001=B931)))=1,1,0)</f>
        <v>1</v>
      </c>
    </row>
    <row r="932" spans="1:11" x14ac:dyDescent="0.2">
      <c r="A932" t="s">
        <v>964</v>
      </c>
      <c r="B932" t="s">
        <v>793</v>
      </c>
      <c r="C932" t="s">
        <v>274</v>
      </c>
      <c r="D932" t="s">
        <v>1088</v>
      </c>
      <c r="E932">
        <v>28</v>
      </c>
      <c r="F932">
        <v>5669</v>
      </c>
      <c r="G932">
        <v>21.79</v>
      </c>
      <c r="H932">
        <v>3</v>
      </c>
      <c r="I932">
        <v>1</v>
      </c>
      <c r="J932">
        <v>2</v>
      </c>
      <c r="K932" cm="1">
        <f t="array" ref="K932">IF(COUNTA(_xlfn.UNIQUE(_xlfn._xlws.FILTER($C$2:$C$1001,$B$2:$B$1001=B932)))=1,1,0)</f>
        <v>1</v>
      </c>
    </row>
    <row r="933" spans="1:11" x14ac:dyDescent="0.2">
      <c r="A933" t="s">
        <v>965</v>
      </c>
      <c r="B933" t="s">
        <v>782</v>
      </c>
      <c r="C933" t="s">
        <v>18</v>
      </c>
      <c r="D933" t="s">
        <v>1085</v>
      </c>
      <c r="E933">
        <v>28</v>
      </c>
      <c r="F933">
        <v>17627</v>
      </c>
      <c r="G933">
        <v>41.94</v>
      </c>
      <c r="H933">
        <v>1</v>
      </c>
      <c r="I933">
        <v>1</v>
      </c>
      <c r="J933">
        <v>1</v>
      </c>
      <c r="K933" cm="1">
        <f t="array" ref="K933">IF(COUNTA(_xlfn.UNIQUE(_xlfn._xlws.FILTER($C$2:$C$1001,$B$2:$B$1001=B933)))=1,1,0)</f>
        <v>1</v>
      </c>
    </row>
    <row r="934" spans="1:11" x14ac:dyDescent="0.2">
      <c r="A934" t="s">
        <v>966</v>
      </c>
      <c r="B934" t="s">
        <v>782</v>
      </c>
      <c r="C934" t="s">
        <v>18</v>
      </c>
      <c r="D934" t="s">
        <v>1085</v>
      </c>
      <c r="E934">
        <v>13</v>
      </c>
      <c r="F934">
        <v>19024</v>
      </c>
      <c r="G934">
        <v>44.28</v>
      </c>
      <c r="H934">
        <v>2</v>
      </c>
      <c r="I934">
        <v>3</v>
      </c>
      <c r="J934">
        <v>2</v>
      </c>
      <c r="K934" cm="1">
        <f t="array" ref="K934">IF(COUNTA(_xlfn.UNIQUE(_xlfn._xlws.FILTER($C$2:$C$1001,$B$2:$B$1001=B934)))=1,1,0)</f>
        <v>1</v>
      </c>
    </row>
    <row r="935" spans="1:11" x14ac:dyDescent="0.2">
      <c r="A935" t="s">
        <v>967</v>
      </c>
      <c r="B935" t="s">
        <v>784</v>
      </c>
      <c r="C935" t="s">
        <v>527</v>
      </c>
      <c r="D935" t="s">
        <v>1086</v>
      </c>
      <c r="E935">
        <v>70</v>
      </c>
      <c r="F935">
        <v>5486</v>
      </c>
      <c r="G935">
        <v>40.89</v>
      </c>
      <c r="H935">
        <v>1</v>
      </c>
      <c r="I935">
        <v>1</v>
      </c>
      <c r="J935">
        <v>1</v>
      </c>
      <c r="K935" cm="1">
        <f t="array" ref="K935">IF(COUNTA(_xlfn.UNIQUE(_xlfn._xlws.FILTER($C$2:$C$1001,$B$2:$B$1001=B935)))=1,1,0)</f>
        <v>1</v>
      </c>
    </row>
    <row r="936" spans="1:11" x14ac:dyDescent="0.2">
      <c r="A936" t="s">
        <v>968</v>
      </c>
      <c r="B936" t="s">
        <v>782</v>
      </c>
      <c r="C936" t="s">
        <v>18</v>
      </c>
      <c r="D936" t="s">
        <v>1085</v>
      </c>
      <c r="E936">
        <v>80</v>
      </c>
      <c r="F936">
        <v>13572</v>
      </c>
      <c r="G936">
        <v>10.69</v>
      </c>
      <c r="H936">
        <v>3</v>
      </c>
      <c r="I936">
        <v>2</v>
      </c>
      <c r="J936">
        <v>1</v>
      </c>
      <c r="K936" cm="1">
        <f t="array" ref="K936">IF(COUNTA(_xlfn.UNIQUE(_xlfn._xlws.FILTER($C$2:$C$1001,$B$2:$B$1001=B936)))=1,1,0)</f>
        <v>1</v>
      </c>
    </row>
    <row r="937" spans="1:11" x14ac:dyDescent="0.2">
      <c r="A937" t="s">
        <v>969</v>
      </c>
      <c r="B937" t="s">
        <v>784</v>
      </c>
      <c r="C937" t="s">
        <v>527</v>
      </c>
      <c r="D937" t="s">
        <v>1086</v>
      </c>
      <c r="E937">
        <v>72</v>
      </c>
      <c r="F937">
        <v>12756</v>
      </c>
      <c r="G937">
        <v>36.58</v>
      </c>
      <c r="H937">
        <v>1</v>
      </c>
      <c r="I937">
        <v>3</v>
      </c>
      <c r="J937">
        <v>1</v>
      </c>
      <c r="K937" cm="1">
        <f t="array" ref="K937">IF(COUNTA(_xlfn.UNIQUE(_xlfn._xlws.FILTER($C$2:$C$1001,$B$2:$B$1001=B937)))=1,1,0)</f>
        <v>1</v>
      </c>
    </row>
    <row r="938" spans="1:11" x14ac:dyDescent="0.2">
      <c r="A938" t="s">
        <v>970</v>
      </c>
      <c r="B938" t="s">
        <v>784</v>
      </c>
      <c r="C938" t="s">
        <v>527</v>
      </c>
      <c r="D938" t="s">
        <v>1086</v>
      </c>
      <c r="E938">
        <v>71</v>
      </c>
      <c r="F938">
        <v>7587</v>
      </c>
      <c r="G938">
        <v>14.53</v>
      </c>
      <c r="H938">
        <v>1</v>
      </c>
      <c r="I938">
        <v>2</v>
      </c>
      <c r="J938">
        <v>1</v>
      </c>
      <c r="K938" cm="1">
        <f t="array" ref="K938">IF(COUNTA(_xlfn.UNIQUE(_xlfn._xlws.FILTER($C$2:$C$1001,$B$2:$B$1001=B938)))=1,1,0)</f>
        <v>1</v>
      </c>
    </row>
    <row r="939" spans="1:11" x14ac:dyDescent="0.2">
      <c r="A939" t="s">
        <v>971</v>
      </c>
      <c r="B939" t="s">
        <v>782</v>
      </c>
      <c r="C939" t="s">
        <v>18</v>
      </c>
      <c r="D939" t="s">
        <v>1085</v>
      </c>
      <c r="E939">
        <v>70</v>
      </c>
      <c r="F939">
        <v>19306</v>
      </c>
      <c r="G939">
        <v>12.96</v>
      </c>
      <c r="H939">
        <v>1</v>
      </c>
      <c r="I939">
        <v>1</v>
      </c>
      <c r="J939">
        <v>1</v>
      </c>
      <c r="K939" cm="1">
        <f t="array" ref="K939">IF(COUNTA(_xlfn.UNIQUE(_xlfn._xlws.FILTER($C$2:$C$1001,$B$2:$B$1001=B939)))=1,1,0)</f>
        <v>1</v>
      </c>
    </row>
    <row r="940" spans="1:11" x14ac:dyDescent="0.2">
      <c r="A940" t="s">
        <v>972</v>
      </c>
      <c r="B940" t="s">
        <v>793</v>
      </c>
      <c r="C940" t="s">
        <v>274</v>
      </c>
      <c r="D940" t="s">
        <v>1088</v>
      </c>
      <c r="E940">
        <v>40</v>
      </c>
      <c r="F940">
        <v>9331</v>
      </c>
      <c r="G940">
        <v>16.97</v>
      </c>
      <c r="H940">
        <v>1</v>
      </c>
      <c r="I940">
        <v>2</v>
      </c>
      <c r="J940">
        <v>1</v>
      </c>
      <c r="K940" cm="1">
        <f t="array" ref="K940">IF(COUNTA(_xlfn.UNIQUE(_xlfn._xlws.FILTER($C$2:$C$1001,$B$2:$B$1001=B940)))=1,1,0)</f>
        <v>1</v>
      </c>
    </row>
    <row r="941" spans="1:11" x14ac:dyDescent="0.2">
      <c r="A941" t="s">
        <v>973</v>
      </c>
      <c r="B941" t="s">
        <v>788</v>
      </c>
      <c r="C941" t="s">
        <v>527</v>
      </c>
      <c r="D941" t="s">
        <v>1087</v>
      </c>
      <c r="E941">
        <v>47</v>
      </c>
      <c r="F941">
        <v>9320</v>
      </c>
      <c r="G941">
        <v>12.53</v>
      </c>
      <c r="H941">
        <v>1</v>
      </c>
      <c r="I941">
        <v>3</v>
      </c>
      <c r="J941">
        <v>1</v>
      </c>
      <c r="K941" cm="1">
        <f t="array" ref="K941">IF(COUNTA(_xlfn.UNIQUE(_xlfn._xlws.FILTER($C$2:$C$1001,$B$2:$B$1001=B941)))=1,1,0)</f>
        <v>1</v>
      </c>
    </row>
    <row r="942" spans="1:11" x14ac:dyDescent="0.2">
      <c r="A942" t="s">
        <v>974</v>
      </c>
      <c r="B942" t="s">
        <v>782</v>
      </c>
      <c r="C942" t="s">
        <v>18</v>
      </c>
      <c r="D942" t="s">
        <v>1085</v>
      </c>
      <c r="E942">
        <v>34</v>
      </c>
      <c r="F942">
        <v>10539</v>
      </c>
      <c r="G942">
        <v>49</v>
      </c>
      <c r="H942">
        <v>1</v>
      </c>
      <c r="I942">
        <v>1</v>
      </c>
      <c r="J942">
        <v>1</v>
      </c>
      <c r="K942" cm="1">
        <f t="array" ref="K942">IF(COUNTA(_xlfn.UNIQUE(_xlfn._xlws.FILTER($C$2:$C$1001,$B$2:$B$1001=B942)))=1,1,0)</f>
        <v>1</v>
      </c>
    </row>
    <row r="943" spans="1:11" x14ac:dyDescent="0.2">
      <c r="A943" t="s">
        <v>975</v>
      </c>
      <c r="B943" t="s">
        <v>784</v>
      </c>
      <c r="C943" t="s">
        <v>527</v>
      </c>
      <c r="D943" t="s">
        <v>1086</v>
      </c>
      <c r="E943">
        <v>35</v>
      </c>
      <c r="F943">
        <v>16215</v>
      </c>
      <c r="G943">
        <v>16.59</v>
      </c>
      <c r="H943">
        <v>2</v>
      </c>
      <c r="I943">
        <v>1</v>
      </c>
      <c r="J943">
        <v>1</v>
      </c>
      <c r="K943" cm="1">
        <f t="array" ref="K943">IF(COUNTA(_xlfn.UNIQUE(_xlfn._xlws.FILTER($C$2:$C$1001,$B$2:$B$1001=B943)))=1,1,0)</f>
        <v>1</v>
      </c>
    </row>
    <row r="944" spans="1:11" x14ac:dyDescent="0.2">
      <c r="A944" t="s">
        <v>976</v>
      </c>
      <c r="B944" t="s">
        <v>788</v>
      </c>
      <c r="C944" t="s">
        <v>527</v>
      </c>
      <c r="D944" t="s">
        <v>1087</v>
      </c>
      <c r="E944">
        <v>10</v>
      </c>
      <c r="F944">
        <v>7001</v>
      </c>
      <c r="G944">
        <v>12.19</v>
      </c>
      <c r="H944">
        <v>1</v>
      </c>
      <c r="I944">
        <v>3</v>
      </c>
      <c r="J944">
        <v>1</v>
      </c>
      <c r="K944" cm="1">
        <f t="array" ref="K944">IF(COUNTA(_xlfn.UNIQUE(_xlfn._xlws.FILTER($C$2:$C$1001,$B$2:$B$1001=B944)))=1,1,0)</f>
        <v>1</v>
      </c>
    </row>
    <row r="945" spans="1:11" x14ac:dyDescent="0.2">
      <c r="A945" t="s">
        <v>977</v>
      </c>
      <c r="B945" t="s">
        <v>784</v>
      </c>
      <c r="C945" t="s">
        <v>527</v>
      </c>
      <c r="D945" t="s">
        <v>1086</v>
      </c>
      <c r="E945">
        <v>67</v>
      </c>
      <c r="F945">
        <v>15344</v>
      </c>
      <c r="G945">
        <v>44.99</v>
      </c>
      <c r="H945">
        <v>1</v>
      </c>
      <c r="I945">
        <v>2</v>
      </c>
      <c r="J945">
        <v>2</v>
      </c>
      <c r="K945" cm="1">
        <f t="array" ref="K945">IF(COUNTA(_xlfn.UNIQUE(_xlfn._xlws.FILTER($C$2:$C$1001,$B$2:$B$1001=B945)))=1,1,0)</f>
        <v>1</v>
      </c>
    </row>
    <row r="946" spans="1:11" x14ac:dyDescent="0.2">
      <c r="A946" t="s">
        <v>978</v>
      </c>
      <c r="B946" t="s">
        <v>782</v>
      </c>
      <c r="C946" t="s">
        <v>18</v>
      </c>
      <c r="D946" t="s">
        <v>1085</v>
      </c>
      <c r="E946">
        <v>29</v>
      </c>
      <c r="F946">
        <v>18824</v>
      </c>
      <c r="G946">
        <v>25.94</v>
      </c>
      <c r="H946">
        <v>1</v>
      </c>
      <c r="I946">
        <v>3</v>
      </c>
      <c r="J946">
        <v>1</v>
      </c>
      <c r="K946" cm="1">
        <f t="array" ref="K946">IF(COUNTA(_xlfn.UNIQUE(_xlfn._xlws.FILTER($C$2:$C$1001,$B$2:$B$1001=B946)))=1,1,0)</f>
        <v>1</v>
      </c>
    </row>
    <row r="947" spans="1:11" x14ac:dyDescent="0.2">
      <c r="A947" t="s">
        <v>979</v>
      </c>
      <c r="B947" t="s">
        <v>784</v>
      </c>
      <c r="C947" t="s">
        <v>527</v>
      </c>
      <c r="D947" t="s">
        <v>1086</v>
      </c>
      <c r="E947">
        <v>67</v>
      </c>
      <c r="F947">
        <v>17129</v>
      </c>
      <c r="G947">
        <v>15.92</v>
      </c>
      <c r="H947">
        <v>1</v>
      </c>
      <c r="I947">
        <v>2</v>
      </c>
      <c r="J947">
        <v>1</v>
      </c>
      <c r="K947" cm="1">
        <f t="array" ref="K947">IF(COUNTA(_xlfn.UNIQUE(_xlfn._xlws.FILTER($C$2:$C$1001,$B$2:$B$1001=B947)))=1,1,0)</f>
        <v>1</v>
      </c>
    </row>
    <row r="948" spans="1:11" x14ac:dyDescent="0.2">
      <c r="A948" t="s">
        <v>980</v>
      </c>
      <c r="B948" t="s">
        <v>788</v>
      </c>
      <c r="C948" t="s">
        <v>527</v>
      </c>
      <c r="D948" t="s">
        <v>1087</v>
      </c>
      <c r="E948">
        <v>56</v>
      </c>
      <c r="F948">
        <v>19792</v>
      </c>
      <c r="G948">
        <v>42.72</v>
      </c>
      <c r="H948">
        <v>1</v>
      </c>
      <c r="I948">
        <v>2</v>
      </c>
      <c r="J948">
        <v>2</v>
      </c>
      <c r="K948" cm="1">
        <f t="array" ref="K948">IF(COUNTA(_xlfn.UNIQUE(_xlfn._xlws.FILTER($C$2:$C$1001,$B$2:$B$1001=B948)))=1,1,0)</f>
        <v>1</v>
      </c>
    </row>
    <row r="949" spans="1:11" x14ac:dyDescent="0.2">
      <c r="A949" t="s">
        <v>981</v>
      </c>
      <c r="B949" t="s">
        <v>793</v>
      </c>
      <c r="C949" t="s">
        <v>274</v>
      </c>
      <c r="D949" t="s">
        <v>1088</v>
      </c>
      <c r="E949">
        <v>7</v>
      </c>
      <c r="F949">
        <v>17234</v>
      </c>
      <c r="G949">
        <v>12.18</v>
      </c>
      <c r="H949">
        <v>2</v>
      </c>
      <c r="I949">
        <v>1</v>
      </c>
      <c r="J949">
        <v>2</v>
      </c>
      <c r="K949" cm="1">
        <f t="array" ref="K949">IF(COUNTA(_xlfn.UNIQUE(_xlfn._xlws.FILTER($C$2:$C$1001,$B$2:$B$1001=B949)))=1,1,0)</f>
        <v>1</v>
      </c>
    </row>
    <row r="950" spans="1:11" x14ac:dyDescent="0.2">
      <c r="A950" t="s">
        <v>982</v>
      </c>
      <c r="B950" t="s">
        <v>784</v>
      </c>
      <c r="C950" t="s">
        <v>527</v>
      </c>
      <c r="D950" t="s">
        <v>1086</v>
      </c>
      <c r="E950">
        <v>49</v>
      </c>
      <c r="F950">
        <v>16650</v>
      </c>
      <c r="G950">
        <v>47.43</v>
      </c>
      <c r="H950">
        <v>2</v>
      </c>
      <c r="I950">
        <v>2</v>
      </c>
      <c r="J950">
        <v>1</v>
      </c>
      <c r="K950" cm="1">
        <f t="array" ref="K950">IF(COUNTA(_xlfn.UNIQUE(_xlfn._xlws.FILTER($C$2:$C$1001,$B$2:$B$1001=B950)))=1,1,0)</f>
        <v>1</v>
      </c>
    </row>
    <row r="951" spans="1:11" x14ac:dyDescent="0.2">
      <c r="A951" t="s">
        <v>983</v>
      </c>
      <c r="B951" t="s">
        <v>782</v>
      </c>
      <c r="C951" t="s">
        <v>18</v>
      </c>
      <c r="D951" t="s">
        <v>1085</v>
      </c>
      <c r="E951">
        <v>78</v>
      </c>
      <c r="F951">
        <v>8201</v>
      </c>
      <c r="G951">
        <v>18.61</v>
      </c>
      <c r="H951">
        <v>2</v>
      </c>
      <c r="I951">
        <v>1</v>
      </c>
      <c r="J951">
        <v>2</v>
      </c>
      <c r="K951" cm="1">
        <f t="array" ref="K951">IF(COUNTA(_xlfn.UNIQUE(_xlfn._xlws.FILTER($C$2:$C$1001,$B$2:$B$1001=B951)))=1,1,0)</f>
        <v>1</v>
      </c>
    </row>
    <row r="952" spans="1:11" x14ac:dyDescent="0.2">
      <c r="A952" t="s">
        <v>984</v>
      </c>
      <c r="B952" t="s">
        <v>784</v>
      </c>
      <c r="C952" t="s">
        <v>527</v>
      </c>
      <c r="D952" t="s">
        <v>1086</v>
      </c>
      <c r="E952">
        <v>25</v>
      </c>
      <c r="F952">
        <v>12083</v>
      </c>
      <c r="G952">
        <v>25.5</v>
      </c>
      <c r="H952">
        <v>1</v>
      </c>
      <c r="I952">
        <v>1</v>
      </c>
      <c r="J952">
        <v>2</v>
      </c>
      <c r="K952" cm="1">
        <f t="array" ref="K952">IF(COUNTA(_xlfn.UNIQUE(_xlfn._xlws.FILTER($C$2:$C$1001,$B$2:$B$1001=B952)))=1,1,0)</f>
        <v>1</v>
      </c>
    </row>
    <row r="953" spans="1:11" x14ac:dyDescent="0.2">
      <c r="A953" t="s">
        <v>985</v>
      </c>
      <c r="B953" t="s">
        <v>788</v>
      </c>
      <c r="C953" t="s">
        <v>527</v>
      </c>
      <c r="D953" t="s">
        <v>1087</v>
      </c>
      <c r="E953">
        <v>56</v>
      </c>
      <c r="F953">
        <v>13490</v>
      </c>
      <c r="G953">
        <v>36.82</v>
      </c>
      <c r="H953">
        <v>2</v>
      </c>
      <c r="I953">
        <v>1</v>
      </c>
      <c r="J953">
        <v>2</v>
      </c>
      <c r="K953" cm="1">
        <f t="array" ref="K953">IF(COUNTA(_xlfn.UNIQUE(_xlfn._xlws.FILTER($C$2:$C$1001,$B$2:$B$1001=B953)))=1,1,0)</f>
        <v>1</v>
      </c>
    </row>
    <row r="954" spans="1:11" x14ac:dyDescent="0.2">
      <c r="A954" t="s">
        <v>986</v>
      </c>
      <c r="B954" t="s">
        <v>782</v>
      </c>
      <c r="C954" t="s">
        <v>18</v>
      </c>
      <c r="D954" t="s">
        <v>1085</v>
      </c>
      <c r="E954">
        <v>67</v>
      </c>
      <c r="F954">
        <v>14069</v>
      </c>
      <c r="G954">
        <v>30.58</v>
      </c>
      <c r="H954">
        <v>3</v>
      </c>
      <c r="I954">
        <v>1</v>
      </c>
      <c r="J954">
        <v>1</v>
      </c>
      <c r="K954" cm="1">
        <f t="array" ref="K954">IF(COUNTA(_xlfn.UNIQUE(_xlfn._xlws.FILTER($C$2:$C$1001,$B$2:$B$1001=B954)))=1,1,0)</f>
        <v>1</v>
      </c>
    </row>
    <row r="955" spans="1:11" x14ac:dyDescent="0.2">
      <c r="A955" t="s">
        <v>987</v>
      </c>
      <c r="B955" t="s">
        <v>782</v>
      </c>
      <c r="C955" t="s">
        <v>18</v>
      </c>
      <c r="D955" t="s">
        <v>1085</v>
      </c>
      <c r="E955">
        <v>76</v>
      </c>
      <c r="F955">
        <v>15095</v>
      </c>
      <c r="G955">
        <v>19.07</v>
      </c>
      <c r="H955">
        <v>1</v>
      </c>
      <c r="I955">
        <v>3</v>
      </c>
      <c r="J955">
        <v>1</v>
      </c>
      <c r="K955" cm="1">
        <f t="array" ref="K955">IF(COUNTA(_xlfn.UNIQUE(_xlfn._xlws.FILTER($C$2:$C$1001,$B$2:$B$1001=B955)))=1,1,0)</f>
        <v>1</v>
      </c>
    </row>
    <row r="956" spans="1:11" x14ac:dyDescent="0.2">
      <c r="A956" t="s">
        <v>988</v>
      </c>
      <c r="B956" t="s">
        <v>788</v>
      </c>
      <c r="C956" t="s">
        <v>527</v>
      </c>
      <c r="D956" t="s">
        <v>1087</v>
      </c>
      <c r="E956">
        <v>62</v>
      </c>
      <c r="F956">
        <v>12320</v>
      </c>
      <c r="G956">
        <v>39.42</v>
      </c>
      <c r="H956">
        <v>2</v>
      </c>
      <c r="I956">
        <v>1</v>
      </c>
      <c r="J956">
        <v>2</v>
      </c>
      <c r="K956" cm="1">
        <f t="array" ref="K956">IF(COUNTA(_xlfn.UNIQUE(_xlfn._xlws.FILTER($C$2:$C$1001,$B$2:$B$1001=B956)))=1,1,0)</f>
        <v>1</v>
      </c>
    </row>
    <row r="957" spans="1:11" x14ac:dyDescent="0.2">
      <c r="A957" t="s">
        <v>989</v>
      </c>
      <c r="B957" t="s">
        <v>782</v>
      </c>
      <c r="C957" t="s">
        <v>18</v>
      </c>
      <c r="D957" t="s">
        <v>1085</v>
      </c>
      <c r="E957">
        <v>72</v>
      </c>
      <c r="F957">
        <v>12593</v>
      </c>
      <c r="G957">
        <v>42.58</v>
      </c>
      <c r="H957">
        <v>2</v>
      </c>
      <c r="I957">
        <v>1</v>
      </c>
      <c r="J957">
        <v>1</v>
      </c>
      <c r="K957" cm="1">
        <f t="array" ref="K957">IF(COUNTA(_xlfn.UNIQUE(_xlfn._xlws.FILTER($C$2:$C$1001,$B$2:$B$1001=B957)))=1,1,0)</f>
        <v>1</v>
      </c>
    </row>
    <row r="958" spans="1:11" x14ac:dyDescent="0.2">
      <c r="A958" t="s">
        <v>990</v>
      </c>
      <c r="B958" t="s">
        <v>782</v>
      </c>
      <c r="C958" t="s">
        <v>18</v>
      </c>
      <c r="D958" t="s">
        <v>1085</v>
      </c>
      <c r="E958">
        <v>78</v>
      </c>
      <c r="F958">
        <v>12586</v>
      </c>
      <c r="G958">
        <v>48.32</v>
      </c>
      <c r="H958">
        <v>1</v>
      </c>
      <c r="I958">
        <v>1</v>
      </c>
      <c r="J958">
        <v>1</v>
      </c>
      <c r="K958" cm="1">
        <f t="array" ref="K958">IF(COUNTA(_xlfn.UNIQUE(_xlfn._xlws.FILTER($C$2:$C$1001,$B$2:$B$1001=B958)))=1,1,0)</f>
        <v>1</v>
      </c>
    </row>
    <row r="959" spans="1:11" x14ac:dyDescent="0.2">
      <c r="A959" t="s">
        <v>991</v>
      </c>
      <c r="B959" t="s">
        <v>788</v>
      </c>
      <c r="C959" t="s">
        <v>527</v>
      </c>
      <c r="D959" t="s">
        <v>1087</v>
      </c>
      <c r="E959">
        <v>71</v>
      </c>
      <c r="F959">
        <v>8167</v>
      </c>
      <c r="G959">
        <v>17.71</v>
      </c>
      <c r="H959">
        <v>1</v>
      </c>
      <c r="I959">
        <v>1</v>
      </c>
      <c r="J959">
        <v>2</v>
      </c>
      <c r="K959" cm="1">
        <f t="array" ref="K959">IF(COUNTA(_xlfn.UNIQUE(_xlfn._xlws.FILTER($C$2:$C$1001,$B$2:$B$1001=B959)))=1,1,0)</f>
        <v>1</v>
      </c>
    </row>
    <row r="960" spans="1:11" x14ac:dyDescent="0.2">
      <c r="A960" t="s">
        <v>992</v>
      </c>
      <c r="B960" t="s">
        <v>793</v>
      </c>
      <c r="C960" t="s">
        <v>274</v>
      </c>
      <c r="D960" t="s">
        <v>1088</v>
      </c>
      <c r="E960">
        <v>18</v>
      </c>
      <c r="F960">
        <v>9477</v>
      </c>
      <c r="G960">
        <v>31.43</v>
      </c>
      <c r="H960">
        <v>2</v>
      </c>
      <c r="I960">
        <v>1</v>
      </c>
      <c r="J960">
        <v>2</v>
      </c>
      <c r="K960" cm="1">
        <f t="array" ref="K960">IF(COUNTA(_xlfn.UNIQUE(_xlfn._xlws.FILTER($C$2:$C$1001,$B$2:$B$1001=B960)))=1,1,0)</f>
        <v>1</v>
      </c>
    </row>
    <row r="961" spans="1:11" x14ac:dyDescent="0.2">
      <c r="A961" t="s">
        <v>993</v>
      </c>
      <c r="B961" t="s">
        <v>793</v>
      </c>
      <c r="C961" t="s">
        <v>274</v>
      </c>
      <c r="D961" t="s">
        <v>1088</v>
      </c>
      <c r="E961">
        <v>26</v>
      </c>
      <c r="F961">
        <v>14546</v>
      </c>
      <c r="G961">
        <v>29.31</v>
      </c>
      <c r="H961">
        <v>1</v>
      </c>
      <c r="I961">
        <v>2</v>
      </c>
      <c r="J961">
        <v>1</v>
      </c>
      <c r="K961" cm="1">
        <f t="array" ref="K961">IF(COUNTA(_xlfn.UNIQUE(_xlfn._xlws.FILTER($C$2:$C$1001,$B$2:$B$1001=B961)))=1,1,0)</f>
        <v>1</v>
      </c>
    </row>
    <row r="962" spans="1:11" x14ac:dyDescent="0.2">
      <c r="A962" t="s">
        <v>994</v>
      </c>
      <c r="B962" t="s">
        <v>788</v>
      </c>
      <c r="C962" t="s">
        <v>527</v>
      </c>
      <c r="D962" t="s">
        <v>1087</v>
      </c>
      <c r="E962">
        <v>36</v>
      </c>
      <c r="F962">
        <v>16294</v>
      </c>
      <c r="G962">
        <v>29.34</v>
      </c>
      <c r="H962">
        <v>2</v>
      </c>
      <c r="I962">
        <v>2</v>
      </c>
      <c r="J962">
        <v>2</v>
      </c>
      <c r="K962" cm="1">
        <f t="array" ref="K962">IF(COUNTA(_xlfn.UNIQUE(_xlfn._xlws.FILTER($C$2:$C$1001,$B$2:$B$1001=B962)))=1,1,0)</f>
        <v>1</v>
      </c>
    </row>
    <row r="963" spans="1:11" x14ac:dyDescent="0.2">
      <c r="A963" t="s">
        <v>995</v>
      </c>
      <c r="B963" t="s">
        <v>793</v>
      </c>
      <c r="C963" t="s">
        <v>274</v>
      </c>
      <c r="D963" t="s">
        <v>1088</v>
      </c>
      <c r="E963">
        <v>87</v>
      </c>
      <c r="F963">
        <v>10255</v>
      </c>
      <c r="G963">
        <v>17.98</v>
      </c>
      <c r="H963">
        <v>2</v>
      </c>
      <c r="I963">
        <v>1</v>
      </c>
      <c r="J963">
        <v>1</v>
      </c>
      <c r="K963" cm="1">
        <f t="array" ref="K963">IF(COUNTA(_xlfn.UNIQUE(_xlfn._xlws.FILTER($C$2:$C$1001,$B$2:$B$1001=B963)))=1,1,0)</f>
        <v>1</v>
      </c>
    </row>
    <row r="964" spans="1:11" x14ac:dyDescent="0.2">
      <c r="A964" t="s">
        <v>996</v>
      </c>
      <c r="B964" t="s">
        <v>784</v>
      </c>
      <c r="C964" t="s">
        <v>527</v>
      </c>
      <c r="D964" t="s">
        <v>1086</v>
      </c>
      <c r="E964">
        <v>59</v>
      </c>
      <c r="F964">
        <v>6885</v>
      </c>
      <c r="G964">
        <v>44.06</v>
      </c>
      <c r="H964">
        <v>2</v>
      </c>
      <c r="I964">
        <v>3</v>
      </c>
      <c r="J964">
        <v>1</v>
      </c>
      <c r="K964" cm="1">
        <f t="array" ref="K964">IF(COUNTA(_xlfn.UNIQUE(_xlfn._xlws.FILTER($C$2:$C$1001,$B$2:$B$1001=B964)))=1,1,0)</f>
        <v>1</v>
      </c>
    </row>
    <row r="965" spans="1:11" x14ac:dyDescent="0.2">
      <c r="A965" t="s">
        <v>997</v>
      </c>
      <c r="B965" t="s">
        <v>788</v>
      </c>
      <c r="C965" t="s">
        <v>527</v>
      </c>
      <c r="D965" t="s">
        <v>1087</v>
      </c>
      <c r="E965">
        <v>50</v>
      </c>
      <c r="F965">
        <v>12171</v>
      </c>
      <c r="G965">
        <v>40.200000000000003</v>
      </c>
      <c r="H965">
        <v>2</v>
      </c>
      <c r="I965">
        <v>2</v>
      </c>
      <c r="J965">
        <v>1</v>
      </c>
      <c r="K965" cm="1">
        <f t="array" ref="K965">IF(COUNTA(_xlfn.UNIQUE(_xlfn._xlws.FILTER($C$2:$C$1001,$B$2:$B$1001=B965)))=1,1,0)</f>
        <v>1</v>
      </c>
    </row>
    <row r="966" spans="1:11" x14ac:dyDescent="0.2">
      <c r="A966" t="s">
        <v>998</v>
      </c>
      <c r="B966" t="s">
        <v>784</v>
      </c>
      <c r="C966" t="s">
        <v>527</v>
      </c>
      <c r="D966" t="s">
        <v>1086</v>
      </c>
      <c r="E966">
        <v>79</v>
      </c>
      <c r="F966">
        <v>9947</v>
      </c>
      <c r="G966">
        <v>18.41</v>
      </c>
      <c r="H966">
        <v>1</v>
      </c>
      <c r="I966">
        <v>1</v>
      </c>
      <c r="J966">
        <v>2</v>
      </c>
      <c r="K966" cm="1">
        <f t="array" ref="K966">IF(COUNTA(_xlfn.UNIQUE(_xlfn._xlws.FILTER($C$2:$C$1001,$B$2:$B$1001=B966)))=1,1,0)</f>
        <v>1</v>
      </c>
    </row>
    <row r="967" spans="1:11" x14ac:dyDescent="0.2">
      <c r="A967" t="s">
        <v>999</v>
      </c>
      <c r="B967" t="s">
        <v>784</v>
      </c>
      <c r="C967" t="s">
        <v>527</v>
      </c>
      <c r="D967" t="s">
        <v>1086</v>
      </c>
      <c r="E967">
        <v>64</v>
      </c>
      <c r="F967">
        <v>13959</v>
      </c>
      <c r="G967">
        <v>37.92</v>
      </c>
      <c r="H967">
        <v>1</v>
      </c>
      <c r="I967">
        <v>2</v>
      </c>
      <c r="J967">
        <v>2</v>
      </c>
      <c r="K967" cm="1">
        <f t="array" ref="K967">IF(COUNTA(_xlfn.UNIQUE(_xlfn._xlws.FILTER($C$2:$C$1001,$B$2:$B$1001=B967)))=1,1,0)</f>
        <v>1</v>
      </c>
    </row>
    <row r="968" spans="1:11" x14ac:dyDescent="0.2">
      <c r="A968" t="s">
        <v>1000</v>
      </c>
      <c r="B968" t="s">
        <v>788</v>
      </c>
      <c r="C968" t="s">
        <v>527</v>
      </c>
      <c r="D968" t="s">
        <v>1087</v>
      </c>
      <c r="E968">
        <v>83</v>
      </c>
      <c r="F968">
        <v>16340</v>
      </c>
      <c r="G968">
        <v>27.83</v>
      </c>
      <c r="H968">
        <v>2</v>
      </c>
      <c r="I968">
        <v>1</v>
      </c>
      <c r="J968">
        <v>2</v>
      </c>
      <c r="K968" cm="1">
        <f t="array" ref="K968">IF(COUNTA(_xlfn.UNIQUE(_xlfn._xlws.FILTER($C$2:$C$1001,$B$2:$B$1001=B968)))=1,1,0)</f>
        <v>1</v>
      </c>
    </row>
    <row r="969" spans="1:11" x14ac:dyDescent="0.2">
      <c r="A969" t="s">
        <v>1001</v>
      </c>
      <c r="B969" t="s">
        <v>782</v>
      </c>
      <c r="C969" t="s">
        <v>18</v>
      </c>
      <c r="D969" t="s">
        <v>1085</v>
      </c>
      <c r="E969">
        <v>30</v>
      </c>
      <c r="F969">
        <v>10487</v>
      </c>
      <c r="G969">
        <v>31.51</v>
      </c>
      <c r="H969">
        <v>1</v>
      </c>
      <c r="I969">
        <v>1</v>
      </c>
      <c r="J969">
        <v>2</v>
      </c>
      <c r="K969" cm="1">
        <f t="array" ref="K969">IF(COUNTA(_xlfn.UNIQUE(_xlfn._xlws.FILTER($C$2:$C$1001,$B$2:$B$1001=B969)))=1,1,0)</f>
        <v>1</v>
      </c>
    </row>
    <row r="970" spans="1:11" x14ac:dyDescent="0.2">
      <c r="A970" t="s">
        <v>1002</v>
      </c>
      <c r="B970" t="s">
        <v>782</v>
      </c>
      <c r="C970" t="s">
        <v>18</v>
      </c>
      <c r="D970" t="s">
        <v>1085</v>
      </c>
      <c r="E970">
        <v>14</v>
      </c>
      <c r="F970">
        <v>8374</v>
      </c>
      <c r="G970">
        <v>38.44</v>
      </c>
      <c r="H970">
        <v>1</v>
      </c>
      <c r="I970">
        <v>2</v>
      </c>
      <c r="J970">
        <v>2</v>
      </c>
      <c r="K970" cm="1">
        <f t="array" ref="K970">IF(COUNTA(_xlfn.UNIQUE(_xlfn._xlws.FILTER($C$2:$C$1001,$B$2:$B$1001=B970)))=1,1,0)</f>
        <v>1</v>
      </c>
    </row>
    <row r="971" spans="1:11" x14ac:dyDescent="0.2">
      <c r="A971" t="s">
        <v>1003</v>
      </c>
      <c r="B971" t="s">
        <v>784</v>
      </c>
      <c r="C971" t="s">
        <v>527</v>
      </c>
      <c r="D971" t="s">
        <v>1086</v>
      </c>
      <c r="E971">
        <v>55</v>
      </c>
      <c r="F971">
        <v>12631</v>
      </c>
      <c r="G971">
        <v>42.78</v>
      </c>
      <c r="H971">
        <v>2</v>
      </c>
      <c r="I971">
        <v>1</v>
      </c>
      <c r="J971">
        <v>1</v>
      </c>
      <c r="K971" cm="1">
        <f t="array" ref="K971">IF(COUNTA(_xlfn.UNIQUE(_xlfn._xlws.FILTER($C$2:$C$1001,$B$2:$B$1001=B971)))=1,1,0)</f>
        <v>1</v>
      </c>
    </row>
    <row r="972" spans="1:11" x14ac:dyDescent="0.2">
      <c r="A972" t="s">
        <v>1004</v>
      </c>
      <c r="B972" t="s">
        <v>788</v>
      </c>
      <c r="C972" t="s">
        <v>527</v>
      </c>
      <c r="D972" t="s">
        <v>1087</v>
      </c>
      <c r="E972">
        <v>84</v>
      </c>
      <c r="F972">
        <v>16595</v>
      </c>
      <c r="G972">
        <v>48.76</v>
      </c>
      <c r="H972">
        <v>2</v>
      </c>
      <c r="I972">
        <v>2</v>
      </c>
      <c r="J972">
        <v>1</v>
      </c>
      <c r="K972" cm="1">
        <f t="array" ref="K972">IF(COUNTA(_xlfn.UNIQUE(_xlfn._xlws.FILTER($C$2:$C$1001,$B$2:$B$1001=B972)))=1,1,0)</f>
        <v>1</v>
      </c>
    </row>
    <row r="973" spans="1:11" x14ac:dyDescent="0.2">
      <c r="A973" t="s">
        <v>1005</v>
      </c>
      <c r="B973" t="s">
        <v>782</v>
      </c>
      <c r="C973" t="s">
        <v>18</v>
      </c>
      <c r="D973" t="s">
        <v>1085</v>
      </c>
      <c r="E973">
        <v>52</v>
      </c>
      <c r="F973">
        <v>16462</v>
      </c>
      <c r="G973">
        <v>36.42</v>
      </c>
      <c r="H973">
        <v>1</v>
      </c>
      <c r="I973">
        <v>1</v>
      </c>
      <c r="J973">
        <v>1</v>
      </c>
      <c r="K973" cm="1">
        <f t="array" ref="K973">IF(COUNTA(_xlfn.UNIQUE(_xlfn._xlws.FILTER($C$2:$C$1001,$B$2:$B$1001=B973)))=1,1,0)</f>
        <v>1</v>
      </c>
    </row>
    <row r="974" spans="1:11" x14ac:dyDescent="0.2">
      <c r="A974" t="s">
        <v>1006</v>
      </c>
      <c r="B974" t="s">
        <v>784</v>
      </c>
      <c r="C974" t="s">
        <v>527</v>
      </c>
      <c r="D974" t="s">
        <v>1086</v>
      </c>
      <c r="E974">
        <v>89</v>
      </c>
      <c r="F974">
        <v>11300</v>
      </c>
      <c r="G974">
        <v>21.7</v>
      </c>
      <c r="H974">
        <v>1</v>
      </c>
      <c r="I974">
        <v>1</v>
      </c>
      <c r="J974">
        <v>1</v>
      </c>
      <c r="K974" cm="1">
        <f t="array" ref="K974">IF(COUNTA(_xlfn.UNIQUE(_xlfn._xlws.FILTER($C$2:$C$1001,$B$2:$B$1001=B974)))=1,1,0)</f>
        <v>1</v>
      </c>
    </row>
    <row r="975" spans="1:11" x14ac:dyDescent="0.2">
      <c r="A975" t="s">
        <v>1007</v>
      </c>
      <c r="B975" t="s">
        <v>782</v>
      </c>
      <c r="C975" t="s">
        <v>18</v>
      </c>
      <c r="D975" t="s">
        <v>1085</v>
      </c>
      <c r="E975">
        <v>11</v>
      </c>
      <c r="F975">
        <v>19104</v>
      </c>
      <c r="G975">
        <v>38.840000000000003</v>
      </c>
      <c r="H975">
        <v>1</v>
      </c>
      <c r="I975">
        <v>3</v>
      </c>
      <c r="J975">
        <v>2</v>
      </c>
      <c r="K975" cm="1">
        <f t="array" ref="K975">IF(COUNTA(_xlfn.UNIQUE(_xlfn._xlws.FILTER($C$2:$C$1001,$B$2:$B$1001=B975)))=1,1,0)</f>
        <v>1</v>
      </c>
    </row>
    <row r="976" spans="1:11" x14ac:dyDescent="0.2">
      <c r="A976" t="s">
        <v>1008</v>
      </c>
      <c r="B976" t="s">
        <v>788</v>
      </c>
      <c r="C976" t="s">
        <v>527</v>
      </c>
      <c r="D976" t="s">
        <v>1087</v>
      </c>
      <c r="E976">
        <v>71</v>
      </c>
      <c r="F976">
        <v>19581</v>
      </c>
      <c r="G976">
        <v>42.19</v>
      </c>
      <c r="H976">
        <v>1</v>
      </c>
      <c r="I976">
        <v>2</v>
      </c>
      <c r="J976">
        <v>2</v>
      </c>
      <c r="K976" cm="1">
        <f t="array" ref="K976">IF(COUNTA(_xlfn.UNIQUE(_xlfn._xlws.FILTER($C$2:$C$1001,$B$2:$B$1001=B976)))=1,1,0)</f>
        <v>1</v>
      </c>
    </row>
    <row r="977" spans="1:11" x14ac:dyDescent="0.2">
      <c r="A977" t="s">
        <v>1009</v>
      </c>
      <c r="B977" t="s">
        <v>782</v>
      </c>
      <c r="C977" t="s">
        <v>18</v>
      </c>
      <c r="D977" t="s">
        <v>1085</v>
      </c>
      <c r="E977">
        <v>16</v>
      </c>
      <c r="F977">
        <v>18603</v>
      </c>
      <c r="G977">
        <v>16.39</v>
      </c>
      <c r="H977">
        <v>1</v>
      </c>
      <c r="I977">
        <v>3</v>
      </c>
      <c r="J977">
        <v>2</v>
      </c>
      <c r="K977" cm="1">
        <f t="array" ref="K977">IF(COUNTA(_xlfn.UNIQUE(_xlfn._xlws.FILTER($C$2:$C$1001,$B$2:$B$1001=B977)))=1,1,0)</f>
        <v>1</v>
      </c>
    </row>
    <row r="978" spans="1:11" x14ac:dyDescent="0.2">
      <c r="A978" t="s">
        <v>1010</v>
      </c>
      <c r="B978" t="s">
        <v>793</v>
      </c>
      <c r="C978" t="s">
        <v>274</v>
      </c>
      <c r="D978" t="s">
        <v>1088</v>
      </c>
      <c r="E978">
        <v>63</v>
      </c>
      <c r="F978">
        <v>9890</v>
      </c>
      <c r="G978">
        <v>19.45</v>
      </c>
      <c r="H978">
        <v>2</v>
      </c>
      <c r="I978">
        <v>2</v>
      </c>
      <c r="J978">
        <v>1</v>
      </c>
      <c r="K978" cm="1">
        <f t="array" ref="K978">IF(COUNTA(_xlfn.UNIQUE(_xlfn._xlws.FILTER($C$2:$C$1001,$B$2:$B$1001=B978)))=1,1,0)</f>
        <v>1</v>
      </c>
    </row>
    <row r="979" spans="1:11" x14ac:dyDescent="0.2">
      <c r="A979" t="s">
        <v>1011</v>
      </c>
      <c r="B979" t="s">
        <v>784</v>
      </c>
      <c r="C979" t="s">
        <v>527</v>
      </c>
      <c r="D979" t="s">
        <v>1086</v>
      </c>
      <c r="E979">
        <v>79</v>
      </c>
      <c r="F979">
        <v>7916</v>
      </c>
      <c r="G979">
        <v>31.34</v>
      </c>
      <c r="H979">
        <v>1</v>
      </c>
      <c r="I979">
        <v>2</v>
      </c>
      <c r="J979">
        <v>1</v>
      </c>
      <c r="K979" cm="1">
        <f t="array" ref="K979">IF(COUNTA(_xlfn.UNIQUE(_xlfn._xlws.FILTER($C$2:$C$1001,$B$2:$B$1001=B979)))=1,1,0)</f>
        <v>1</v>
      </c>
    </row>
    <row r="980" spans="1:11" x14ac:dyDescent="0.2">
      <c r="A980" t="s">
        <v>1012</v>
      </c>
      <c r="B980" t="s">
        <v>782</v>
      </c>
      <c r="C980" t="s">
        <v>18</v>
      </c>
      <c r="D980" t="s">
        <v>1085</v>
      </c>
      <c r="E980">
        <v>34</v>
      </c>
      <c r="F980">
        <v>12190</v>
      </c>
      <c r="G980">
        <v>34.270000000000003</v>
      </c>
      <c r="H980">
        <v>1</v>
      </c>
      <c r="I980">
        <v>1</v>
      </c>
      <c r="J980">
        <v>1</v>
      </c>
      <c r="K980" cm="1">
        <f t="array" ref="K980">IF(COUNTA(_xlfn.UNIQUE(_xlfn._xlws.FILTER($C$2:$C$1001,$B$2:$B$1001=B980)))=1,1,0)</f>
        <v>1</v>
      </c>
    </row>
    <row r="981" spans="1:11" x14ac:dyDescent="0.2">
      <c r="A981" t="s">
        <v>1013</v>
      </c>
      <c r="B981" t="s">
        <v>788</v>
      </c>
      <c r="C981" t="s">
        <v>527</v>
      </c>
      <c r="D981" t="s">
        <v>1087</v>
      </c>
      <c r="E981">
        <v>15</v>
      </c>
      <c r="F981">
        <v>8621</v>
      </c>
      <c r="G981">
        <v>39.909999999999997</v>
      </c>
      <c r="H981">
        <v>2</v>
      </c>
      <c r="I981">
        <v>3</v>
      </c>
      <c r="J981">
        <v>2</v>
      </c>
      <c r="K981" cm="1">
        <f t="array" ref="K981">IF(COUNTA(_xlfn.UNIQUE(_xlfn._xlws.FILTER($C$2:$C$1001,$B$2:$B$1001=B981)))=1,1,0)</f>
        <v>1</v>
      </c>
    </row>
    <row r="982" spans="1:11" x14ac:dyDescent="0.2">
      <c r="A982" t="s">
        <v>1014</v>
      </c>
      <c r="B982" t="s">
        <v>793</v>
      </c>
      <c r="C982" t="s">
        <v>274</v>
      </c>
      <c r="D982" t="s">
        <v>1088</v>
      </c>
      <c r="E982">
        <v>16</v>
      </c>
      <c r="F982">
        <v>19250</v>
      </c>
      <c r="G982">
        <v>29.73</v>
      </c>
      <c r="H982">
        <v>1</v>
      </c>
      <c r="I982">
        <v>2</v>
      </c>
      <c r="J982">
        <v>2</v>
      </c>
      <c r="K982" cm="1">
        <f t="array" ref="K982">IF(COUNTA(_xlfn.UNIQUE(_xlfn._xlws.FILTER($C$2:$C$1001,$B$2:$B$1001=B982)))=1,1,0)</f>
        <v>1</v>
      </c>
    </row>
    <row r="983" spans="1:11" x14ac:dyDescent="0.2">
      <c r="A983" t="s">
        <v>1015</v>
      </c>
      <c r="B983" t="s">
        <v>784</v>
      </c>
      <c r="C983" t="s">
        <v>527</v>
      </c>
      <c r="D983" t="s">
        <v>1086</v>
      </c>
      <c r="E983">
        <v>69</v>
      </c>
      <c r="F983">
        <v>11507</v>
      </c>
      <c r="G983">
        <v>33.47</v>
      </c>
      <c r="H983">
        <v>2</v>
      </c>
      <c r="I983">
        <v>2</v>
      </c>
      <c r="J983">
        <v>1</v>
      </c>
      <c r="K983" cm="1">
        <f t="array" ref="K983">IF(COUNTA(_xlfn.UNIQUE(_xlfn._xlws.FILTER($C$2:$C$1001,$B$2:$B$1001=B983)))=1,1,0)</f>
        <v>1</v>
      </c>
    </row>
    <row r="984" spans="1:11" x14ac:dyDescent="0.2">
      <c r="A984" t="s">
        <v>1016</v>
      </c>
      <c r="B984" t="s">
        <v>784</v>
      </c>
      <c r="C984" t="s">
        <v>527</v>
      </c>
      <c r="D984" t="s">
        <v>1086</v>
      </c>
      <c r="E984">
        <v>55</v>
      </c>
      <c r="F984">
        <v>10130</v>
      </c>
      <c r="G984">
        <v>33.630000000000003</v>
      </c>
      <c r="H984">
        <v>1</v>
      </c>
      <c r="I984">
        <v>2</v>
      </c>
      <c r="J984">
        <v>2</v>
      </c>
      <c r="K984" cm="1">
        <f t="array" ref="K984">IF(COUNTA(_xlfn.UNIQUE(_xlfn._xlws.FILTER($C$2:$C$1001,$B$2:$B$1001=B984)))=1,1,0)</f>
        <v>1</v>
      </c>
    </row>
    <row r="985" spans="1:11" x14ac:dyDescent="0.2">
      <c r="A985" t="s">
        <v>1017</v>
      </c>
      <c r="B985" t="s">
        <v>782</v>
      </c>
      <c r="C985" t="s">
        <v>18</v>
      </c>
      <c r="D985" t="s">
        <v>1085</v>
      </c>
      <c r="E985">
        <v>29</v>
      </c>
      <c r="F985">
        <v>15055</v>
      </c>
      <c r="G985">
        <v>29.48</v>
      </c>
      <c r="H985">
        <v>2</v>
      </c>
      <c r="I985">
        <v>2</v>
      </c>
      <c r="J985">
        <v>1</v>
      </c>
      <c r="K985" cm="1">
        <f t="array" ref="K985">IF(COUNTA(_xlfn.UNIQUE(_xlfn._xlws.FILTER($C$2:$C$1001,$B$2:$B$1001=B985)))=1,1,0)</f>
        <v>1</v>
      </c>
    </row>
    <row r="986" spans="1:11" x14ac:dyDescent="0.2">
      <c r="A986" t="s">
        <v>1018</v>
      </c>
      <c r="B986" t="s">
        <v>793</v>
      </c>
      <c r="C986" t="s">
        <v>274</v>
      </c>
      <c r="D986" t="s">
        <v>1088</v>
      </c>
      <c r="E986">
        <v>64</v>
      </c>
      <c r="F986">
        <v>13480</v>
      </c>
      <c r="G986">
        <v>14.79</v>
      </c>
      <c r="H986">
        <v>1</v>
      </c>
      <c r="I986">
        <v>2</v>
      </c>
      <c r="J986">
        <v>2</v>
      </c>
      <c r="K986" cm="1">
        <f t="array" ref="K986">IF(COUNTA(_xlfn.UNIQUE(_xlfn._xlws.FILTER($C$2:$C$1001,$B$2:$B$1001=B986)))=1,1,0)</f>
        <v>1</v>
      </c>
    </row>
    <row r="987" spans="1:11" x14ac:dyDescent="0.2">
      <c r="A987" t="s">
        <v>1019</v>
      </c>
      <c r="B987" t="s">
        <v>793</v>
      </c>
      <c r="C987" t="s">
        <v>274</v>
      </c>
      <c r="D987" t="s">
        <v>1088</v>
      </c>
      <c r="E987">
        <v>21</v>
      </c>
      <c r="F987">
        <v>6195</v>
      </c>
      <c r="G987">
        <v>30.81</v>
      </c>
      <c r="H987">
        <v>3</v>
      </c>
      <c r="I987">
        <v>2</v>
      </c>
      <c r="J987">
        <v>2</v>
      </c>
      <c r="K987" cm="1">
        <f t="array" ref="K987">IF(COUNTA(_xlfn.UNIQUE(_xlfn._xlws.FILTER($C$2:$C$1001,$B$2:$B$1001=B987)))=1,1,0)</f>
        <v>1</v>
      </c>
    </row>
    <row r="988" spans="1:11" x14ac:dyDescent="0.2">
      <c r="A988" t="s">
        <v>1020</v>
      </c>
      <c r="B988" t="s">
        <v>788</v>
      </c>
      <c r="C988" t="s">
        <v>527</v>
      </c>
      <c r="D988" t="s">
        <v>1087</v>
      </c>
      <c r="E988">
        <v>69</v>
      </c>
      <c r="F988">
        <v>15313</v>
      </c>
      <c r="G988">
        <v>19.690000000000001</v>
      </c>
      <c r="H988">
        <v>3</v>
      </c>
      <c r="I988">
        <v>2</v>
      </c>
      <c r="J988">
        <v>1</v>
      </c>
      <c r="K988" cm="1">
        <f t="array" ref="K988">IF(COUNTA(_xlfn.UNIQUE(_xlfn._xlws.FILTER($C$2:$C$1001,$B$2:$B$1001=B988)))=1,1,0)</f>
        <v>1</v>
      </c>
    </row>
    <row r="989" spans="1:11" x14ac:dyDescent="0.2">
      <c r="A989" t="s">
        <v>1021</v>
      </c>
      <c r="B989" t="s">
        <v>793</v>
      </c>
      <c r="C989" t="s">
        <v>274</v>
      </c>
      <c r="D989" t="s">
        <v>1088</v>
      </c>
      <c r="E989">
        <v>87</v>
      </c>
      <c r="F989">
        <v>7431</v>
      </c>
      <c r="G989">
        <v>17.309999999999999</v>
      </c>
      <c r="H989">
        <v>1</v>
      </c>
      <c r="I989">
        <v>1</v>
      </c>
      <c r="J989">
        <v>1</v>
      </c>
      <c r="K989" cm="1">
        <f t="array" ref="K989">IF(COUNTA(_xlfn.UNIQUE(_xlfn._xlws.FILTER($C$2:$C$1001,$B$2:$B$1001=B989)))=1,1,0)</f>
        <v>1</v>
      </c>
    </row>
    <row r="990" spans="1:11" x14ac:dyDescent="0.2">
      <c r="A990" t="s">
        <v>1022</v>
      </c>
      <c r="B990" t="s">
        <v>788</v>
      </c>
      <c r="C990" t="s">
        <v>527</v>
      </c>
      <c r="D990" t="s">
        <v>1087</v>
      </c>
      <c r="E990">
        <v>17</v>
      </c>
      <c r="F990">
        <v>9814</v>
      </c>
      <c r="G990">
        <v>40.6</v>
      </c>
      <c r="H990">
        <v>2</v>
      </c>
      <c r="I990">
        <v>1</v>
      </c>
      <c r="J990">
        <v>1</v>
      </c>
      <c r="K990" cm="1">
        <f t="array" ref="K990">IF(COUNTA(_xlfn.UNIQUE(_xlfn._xlws.FILTER($C$2:$C$1001,$B$2:$B$1001=B990)))=1,1,0)</f>
        <v>1</v>
      </c>
    </row>
    <row r="991" spans="1:11" x14ac:dyDescent="0.2">
      <c r="A991" t="s">
        <v>1023</v>
      </c>
      <c r="B991" t="s">
        <v>788</v>
      </c>
      <c r="C991" t="s">
        <v>527</v>
      </c>
      <c r="D991" t="s">
        <v>1087</v>
      </c>
      <c r="E991">
        <v>50</v>
      </c>
      <c r="F991">
        <v>19746</v>
      </c>
      <c r="G991">
        <v>11.52</v>
      </c>
      <c r="H991">
        <v>1</v>
      </c>
      <c r="I991">
        <v>1</v>
      </c>
      <c r="J991">
        <v>2</v>
      </c>
      <c r="K991" cm="1">
        <f t="array" ref="K991">IF(COUNTA(_xlfn.UNIQUE(_xlfn._xlws.FILTER($C$2:$C$1001,$B$2:$B$1001=B991)))=1,1,0)</f>
        <v>1</v>
      </c>
    </row>
    <row r="992" spans="1:11" x14ac:dyDescent="0.2">
      <c r="A992" t="s">
        <v>1024</v>
      </c>
      <c r="B992" t="s">
        <v>782</v>
      </c>
      <c r="C992" t="s">
        <v>18</v>
      </c>
      <c r="D992" t="s">
        <v>1085</v>
      </c>
      <c r="E992">
        <v>82</v>
      </c>
      <c r="F992">
        <v>12377</v>
      </c>
      <c r="G992">
        <v>43.42</v>
      </c>
      <c r="H992">
        <v>1</v>
      </c>
      <c r="I992">
        <v>1</v>
      </c>
      <c r="J992">
        <v>1</v>
      </c>
      <c r="K992" cm="1">
        <f t="array" ref="K992">IF(COUNTA(_xlfn.UNIQUE(_xlfn._xlws.FILTER($C$2:$C$1001,$B$2:$B$1001=B992)))=1,1,0)</f>
        <v>1</v>
      </c>
    </row>
    <row r="993" spans="1:11" x14ac:dyDescent="0.2">
      <c r="A993" t="s">
        <v>1025</v>
      </c>
      <c r="B993" t="s">
        <v>793</v>
      </c>
      <c r="C993" t="s">
        <v>274</v>
      </c>
      <c r="D993" t="s">
        <v>1088</v>
      </c>
      <c r="E993">
        <v>16</v>
      </c>
      <c r="F993">
        <v>16317</v>
      </c>
      <c r="G993">
        <v>49.85</v>
      </c>
      <c r="H993">
        <v>3</v>
      </c>
      <c r="I993">
        <v>2</v>
      </c>
      <c r="J993">
        <v>2</v>
      </c>
      <c r="K993" cm="1">
        <f t="array" ref="K993">IF(COUNTA(_xlfn.UNIQUE(_xlfn._xlws.FILTER($C$2:$C$1001,$B$2:$B$1001=B993)))=1,1,0)</f>
        <v>1</v>
      </c>
    </row>
    <row r="994" spans="1:11" x14ac:dyDescent="0.2">
      <c r="A994" t="s">
        <v>1026</v>
      </c>
      <c r="B994" t="s">
        <v>782</v>
      </c>
      <c r="C994" t="s">
        <v>18</v>
      </c>
      <c r="D994" t="s">
        <v>1085</v>
      </c>
      <c r="E994">
        <v>85</v>
      </c>
      <c r="F994">
        <v>6181</v>
      </c>
      <c r="G994">
        <v>26.64</v>
      </c>
      <c r="H994">
        <v>2</v>
      </c>
      <c r="I994">
        <v>2</v>
      </c>
      <c r="J994">
        <v>1</v>
      </c>
      <c r="K994" cm="1">
        <f t="array" ref="K994">IF(COUNTA(_xlfn.UNIQUE(_xlfn._xlws.FILTER($C$2:$C$1001,$B$2:$B$1001=B994)))=1,1,0)</f>
        <v>1</v>
      </c>
    </row>
    <row r="995" spans="1:11" x14ac:dyDescent="0.2">
      <c r="A995" t="s">
        <v>1027</v>
      </c>
      <c r="B995" t="s">
        <v>793</v>
      </c>
      <c r="C995" t="s">
        <v>274</v>
      </c>
      <c r="D995" t="s">
        <v>1088</v>
      </c>
      <c r="E995">
        <v>69</v>
      </c>
      <c r="F995">
        <v>6774</v>
      </c>
      <c r="G995">
        <v>46.32</v>
      </c>
      <c r="H995">
        <v>1</v>
      </c>
      <c r="I995">
        <v>2</v>
      </c>
      <c r="J995">
        <v>1</v>
      </c>
      <c r="K995" cm="1">
        <f t="array" ref="K995">IF(COUNTA(_xlfn.UNIQUE(_xlfn._xlws.FILTER($C$2:$C$1001,$B$2:$B$1001=B995)))=1,1,0)</f>
        <v>1</v>
      </c>
    </row>
    <row r="996" spans="1:11" x14ac:dyDescent="0.2">
      <c r="A996" t="s">
        <v>1028</v>
      </c>
      <c r="B996" t="s">
        <v>793</v>
      </c>
      <c r="C996" t="s">
        <v>274</v>
      </c>
      <c r="D996" t="s">
        <v>1088</v>
      </c>
      <c r="E996">
        <v>22</v>
      </c>
      <c r="F996">
        <v>19231</v>
      </c>
      <c r="G996">
        <v>31.36</v>
      </c>
      <c r="H996">
        <v>1</v>
      </c>
      <c r="I996">
        <v>1</v>
      </c>
      <c r="J996">
        <v>1</v>
      </c>
      <c r="K996" cm="1">
        <f t="array" ref="K996">IF(COUNTA(_xlfn.UNIQUE(_xlfn._xlws.FILTER($C$2:$C$1001,$B$2:$B$1001=B996)))=1,1,0)</f>
        <v>1</v>
      </c>
    </row>
    <row r="997" spans="1:11" x14ac:dyDescent="0.2">
      <c r="A997" t="s">
        <v>1029</v>
      </c>
      <c r="B997" t="s">
        <v>782</v>
      </c>
      <c r="C997" t="s">
        <v>18</v>
      </c>
      <c r="D997" t="s">
        <v>1085</v>
      </c>
      <c r="E997">
        <v>36</v>
      </c>
      <c r="F997">
        <v>7922</v>
      </c>
      <c r="G997">
        <v>22.98</v>
      </c>
      <c r="H997">
        <v>1</v>
      </c>
      <c r="I997">
        <v>1</v>
      </c>
      <c r="J997">
        <v>2</v>
      </c>
      <c r="K997" cm="1">
        <f t="array" ref="K997">IF(COUNTA(_xlfn.UNIQUE(_xlfn._xlws.FILTER($C$2:$C$1001,$B$2:$B$1001=B997)))=1,1,0)</f>
        <v>1</v>
      </c>
    </row>
    <row r="998" spans="1:11" x14ac:dyDescent="0.2">
      <c r="A998" t="s">
        <v>1030</v>
      </c>
      <c r="B998" t="s">
        <v>788</v>
      </c>
      <c r="C998" t="s">
        <v>527</v>
      </c>
      <c r="D998" t="s">
        <v>1087</v>
      </c>
      <c r="E998">
        <v>19</v>
      </c>
      <c r="F998">
        <v>19648</v>
      </c>
      <c r="G998">
        <v>10.199999999999999</v>
      </c>
      <c r="H998">
        <v>2</v>
      </c>
      <c r="I998">
        <v>1</v>
      </c>
      <c r="J998">
        <v>1</v>
      </c>
      <c r="K998" cm="1">
        <f t="array" ref="K998">IF(COUNTA(_xlfn.UNIQUE(_xlfn._xlws.FILTER($C$2:$C$1001,$B$2:$B$1001=B998)))=1,1,0)</f>
        <v>1</v>
      </c>
    </row>
    <row r="999" spans="1:11" x14ac:dyDescent="0.2">
      <c r="A999" t="s">
        <v>1031</v>
      </c>
      <c r="B999" t="s">
        <v>782</v>
      </c>
      <c r="C999" t="s">
        <v>18</v>
      </c>
      <c r="D999" t="s">
        <v>1085</v>
      </c>
      <c r="E999">
        <v>21</v>
      </c>
      <c r="F999">
        <v>19143</v>
      </c>
      <c r="G999">
        <v>15.3</v>
      </c>
      <c r="H999">
        <v>1</v>
      </c>
      <c r="I999">
        <v>2</v>
      </c>
      <c r="J999">
        <v>1</v>
      </c>
      <c r="K999" cm="1">
        <f t="array" ref="K999">IF(COUNTA(_xlfn.UNIQUE(_xlfn._xlws.FILTER($C$2:$C$1001,$B$2:$B$1001=B999)))=1,1,0)</f>
        <v>1</v>
      </c>
    </row>
    <row r="1000" spans="1:11" x14ac:dyDescent="0.2">
      <c r="A1000" t="s">
        <v>1032</v>
      </c>
      <c r="B1000" t="s">
        <v>784</v>
      </c>
      <c r="C1000" t="s">
        <v>527</v>
      </c>
      <c r="D1000" t="s">
        <v>1086</v>
      </c>
      <c r="E1000">
        <v>70</v>
      </c>
      <c r="F1000">
        <v>5352</v>
      </c>
      <c r="G1000">
        <v>30.23</v>
      </c>
      <c r="H1000">
        <v>1</v>
      </c>
      <c r="I1000">
        <v>3</v>
      </c>
      <c r="J1000">
        <v>2</v>
      </c>
      <c r="K1000" cm="1">
        <f t="array" ref="K1000">IF(COUNTA(_xlfn.UNIQUE(_xlfn._xlws.FILTER($C$2:$C$1001,$B$2:$B$1001=B1000)))=1,1,0)</f>
        <v>1</v>
      </c>
    </row>
    <row r="1001" spans="1:11" x14ac:dyDescent="0.2">
      <c r="A1001" t="s">
        <v>1033</v>
      </c>
      <c r="B1001" t="s">
        <v>788</v>
      </c>
      <c r="C1001" t="s">
        <v>527</v>
      </c>
      <c r="D1001" t="s">
        <v>1087</v>
      </c>
      <c r="E1001">
        <v>44</v>
      </c>
      <c r="F1001">
        <v>18070</v>
      </c>
      <c r="G1001">
        <v>30.73</v>
      </c>
      <c r="H1001">
        <v>1</v>
      </c>
      <c r="I1001">
        <v>1</v>
      </c>
      <c r="J1001">
        <v>2</v>
      </c>
      <c r="K1001" cm="1">
        <f t="array" ref="K1001">IF(COUNTA(_xlfn.UNIQUE(_xlfn._xlws.FILTER($C$2:$C$1001,$B$2:$B$1001=B1001)))=1,1,0)</f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weighted_score</vt:lpstr>
      <vt:lpstr>kraljic</vt:lpstr>
      <vt:lpstr>supplier_exposure_analysis</vt:lpstr>
      <vt:lpstr>aggregation_pivot (reference)</vt:lpstr>
      <vt:lpstr>sorcing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ethanzh0@student.ubc.ca</dc:creator>
  <cp:lastModifiedBy>ethanzh0@student.ubc.ca</cp:lastModifiedBy>
  <dcterms:created xsi:type="dcterms:W3CDTF">2026-01-26T10:25:24Z</dcterms:created>
  <dcterms:modified xsi:type="dcterms:W3CDTF">2026-02-02T11:09:35Z</dcterms:modified>
</cp:coreProperties>
</file>